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óveis" sheetId="1" r:id="rId1"/>
  </sheets>
  <calcPr calcId="124519" fullCalcOnLoad="1"/>
</workbook>
</file>

<file path=xl/sharedStrings.xml><?xml version="1.0" encoding="utf-8"?>
<sst xmlns="http://schemas.openxmlformats.org/spreadsheetml/2006/main" count="634" uniqueCount="138">
  <si>
    <t>Anúncio</t>
  </si>
  <si>
    <t>Data de publicação (aproximada)</t>
  </si>
  <si>
    <t>Tipo de imóvel</t>
  </si>
  <si>
    <t>Rua</t>
  </si>
  <si>
    <t>Bairro</t>
  </si>
  <si>
    <t>Cidade</t>
  </si>
  <si>
    <t>Valor imóvel</t>
  </si>
  <si>
    <t>Área (m²)</t>
  </si>
  <si>
    <t>Quartos</t>
  </si>
  <si>
    <t>Suítes</t>
  </si>
  <si>
    <t>Banheiros</t>
  </si>
  <si>
    <t>Vagas garagem</t>
  </si>
  <si>
    <t>Condomínio</t>
  </si>
  <si>
    <t>Iptu Mensal (Estimado)</t>
  </si>
  <si>
    <t>Iptu Anual (Estimado)</t>
  </si>
  <si>
    <t>Custo total mensal</t>
  </si>
  <si>
    <t>Próximo ao metrô</t>
  </si>
  <si>
    <t>Faixa andares</t>
  </si>
  <si>
    <t>Mobília</t>
  </si>
  <si>
    <t>Ano de construção</t>
  </si>
  <si>
    <t>Comodidades</t>
  </si>
  <si>
    <t>Características condomínio</t>
  </si>
  <si>
    <t>há 2 dias</t>
  </si>
  <si>
    <t>há 7 dias</t>
  </si>
  <si>
    <t>há mais de 1 ano</t>
  </si>
  <si>
    <t>há 21 dias</t>
  </si>
  <si>
    <t>há 1 mês</t>
  </si>
  <si>
    <t>há 5 dias</t>
  </si>
  <si>
    <t>há 3 meses</t>
  </si>
  <si>
    <t>há 2 meses</t>
  </si>
  <si>
    <t>há 25 dias</t>
  </si>
  <si>
    <t>há 9 meses</t>
  </si>
  <si>
    <t>há 8 meses</t>
  </si>
  <si>
    <t>há 19 dias</t>
  </si>
  <si>
    <t>há 11 meses</t>
  </si>
  <si>
    <t>há 7 meses</t>
  </si>
  <si>
    <t>há 6 meses</t>
  </si>
  <si>
    <t>há 4 meses</t>
  </si>
  <si>
    <t>há 22 dias</t>
  </si>
  <si>
    <t>há 26 dias</t>
  </si>
  <si>
    <t>Apartamento</t>
  </si>
  <si>
    <t>Rua São Francisco Xavier</t>
  </si>
  <si>
    <t>Rua Santa Luísa</t>
  </si>
  <si>
    <t>Rua Dona Zulmira</t>
  </si>
  <si>
    <t>Rua Oito de Dezembro</t>
  </si>
  <si>
    <t>Avenida Professor Manuel de Abreu</t>
  </si>
  <si>
    <t>Avenida Paula Sousa</t>
  </si>
  <si>
    <t>Avenida Professor Manoel de Abreu</t>
  </si>
  <si>
    <t>Rua Isidro de Figueiredo</t>
  </si>
  <si>
    <t>Rua General Canabarro</t>
  </si>
  <si>
    <t>Rua Professor Euríco Rabelo</t>
  </si>
  <si>
    <t>Rua Senador Furtado</t>
  </si>
  <si>
    <t>Rua Professor Gabizo</t>
  </si>
  <si>
    <t>Rua Mara</t>
  </si>
  <si>
    <t>Avenida Maracanã</t>
  </si>
  <si>
    <t>Rua Mariz E Barros</t>
  </si>
  <si>
    <t>Rua Marã</t>
  </si>
  <si>
    <t>Rua Radialista Waldir Amaral</t>
  </si>
  <si>
    <t>Rua Sergipe</t>
  </si>
  <si>
    <t xml:space="preserve"> Maracanã </t>
  </si>
  <si>
    <t>Rio de Janeiro</t>
  </si>
  <si>
    <t>Sim</t>
  </si>
  <si>
    <t>Não</t>
  </si>
  <si>
    <t>4° a 7° andar</t>
  </si>
  <si>
    <t>Até 3° andar</t>
  </si>
  <si>
    <t>12° a 15° andar</t>
  </si>
  <si>
    <t>8° a 11° andar</t>
  </si>
  <si>
    <t>Box, Armários no quarto, Armários nos banheiros, Armários na cozinha, Ar condicionado, Chuveiro a gás, Fogão incluso, Geladeira inclusa, Home-office, Quartos e corredores com portas amplas, Área de serviço</t>
  </si>
  <si>
    <t>Box, Armários nos banheiros, Armários na cozinha, Área de serviço</t>
  </si>
  <si>
    <t>Box, Armários no quarto, Armários na cozinha, Chuveiro a gás, Quartos e corredores com portas amplas, Área de serviço</t>
  </si>
  <si>
    <t>Box, Armários nos banheiros, Armários na cozinha, Ar condicionado, Área de serviço</t>
  </si>
  <si>
    <t>Box, Chuveiro a gás, Área de serviço</t>
  </si>
  <si>
    <t>Box, Varanda, Armários nos banheiros, Armários na cozinha, Ar condicionado, Chuveiro a gás, Fogão incluso, Geladeira inclusa, Home-office, Área de serviço</t>
  </si>
  <si>
    <t>Box, Armários na cozinha, Chuveiro a gás, Quartos e corredores com portas amplas, Área de serviço</t>
  </si>
  <si>
    <t>Box, Armários no quarto, Armários nos banheiros, Armários na cozinha, Chuveiro a gás, Home-office, Área de serviço</t>
  </si>
  <si>
    <t>Box, Varanda, Armários no quarto, Armários nos banheiros, Quartos e corredores com portas amplas, Área de serviço</t>
  </si>
  <si>
    <t>Box, Armários no quarto, Armários nos banheiros, Armários na cozinha, Chuveiro a gás, Área de serviço</t>
  </si>
  <si>
    <t>Banheira de hidromassagem, Box, Armários nos banheiros, Chuveiro a gás, Quartos e corredores com portas amplas, Área de serviço</t>
  </si>
  <si>
    <t>Box, Armários no quarto, Armários nos banheiros, Armários na cozinha, Ar condicionado, Chuveiro a gás, Quartos e corredores com portas amplas, Área de serviço</t>
  </si>
  <si>
    <t>Box, Armários no quarto, Armários na cozinha, Ar condicionado, Chuveiro a gás, Home-office, Quartos e corredores com portas amplas, Área de serviço</t>
  </si>
  <si>
    <t>Box, Piscina privativa, Armários no quarto, Armários nos banheiros, Armários na cozinha, Ar condicionado, Chuveiro a gás, Fogão incluso, Quartos e corredores com portas amplas, Área de serviço</t>
  </si>
  <si>
    <t>Armários no quarto, Armários nos banheiros, Armários na cozinha, Chuveiro a gás, Área de serviço</t>
  </si>
  <si>
    <t>Chuveiro a gás</t>
  </si>
  <si>
    <t>Box, Armários nos banheiros, Armários na cozinha, Chuveiro a gás</t>
  </si>
  <si>
    <t>Box, Varanda, Armários no quarto, Quartos e corredores com portas amplas, Área de serviço</t>
  </si>
  <si>
    <t>Box, Varanda, Quartos e corredores com portas amplas, Área de serviço</t>
  </si>
  <si>
    <t>Box, Piscina privativa, Armários no quarto, Armários nos banheiros, Armários na cozinha, Chuveiro a gás, Quartos e corredores com portas amplas</t>
  </si>
  <si>
    <t>Box, Armários no quarto, Armários nos banheiros, Armários na cozinha, Quartos e corredores com portas amplas, Área de serviço</t>
  </si>
  <si>
    <t>Box, Varanda, Armários no quarto, Armários nos banheiros, Armários na cozinha, Área de serviço</t>
  </si>
  <si>
    <t>Box, Armários no quarto, Armários nos banheiros, Armários na cozinha, Ar condicionado, Chuveiro a gás, Área de serviço</t>
  </si>
  <si>
    <t>Box, Varanda, Armários no quarto, Armários nos banheiros, Armários na cozinha, Ar condicionado, Fogão incluso, Geladeira inclusa, Área de serviço</t>
  </si>
  <si>
    <t>Armários no quarto, Armários na cozinha, Área de serviço</t>
  </si>
  <si>
    <t>Box, Armários na cozinha, Área de serviço</t>
  </si>
  <si>
    <t>Box, Armários nos banheiros, Armários na cozinha, Chuveiro a gás, Área de serviço</t>
  </si>
  <si>
    <t>Box, Armários no quarto, Armários nos banheiros, Chuveiro a gás, Quartos e corredores com portas amplas, Área de serviço</t>
  </si>
  <si>
    <t>Banheira de hidromassagem, Box, Varanda, Armários no quarto, Armários na cozinha, Ar condicionado, Área de serviço</t>
  </si>
  <si>
    <t>Quartos e corredores com portas amplas, Área de serviço</t>
  </si>
  <si>
    <t>Box, Armários no quarto, Armários nos banheiros, Armários na cozinha, Chuveiro a gás, Quartos e corredores com portas amplas, Área de serviço</t>
  </si>
  <si>
    <t>Box, Armários no quarto, Armários na cozinha, Ar condicionado, Quartos e corredores com portas amplas, Área de serviço</t>
  </si>
  <si>
    <t>Box, Varanda, Armários no quarto, Armários nos banheiros, Armários na cozinha, Chuveiro a gás, Área de serviço</t>
  </si>
  <si>
    <t>Box, Armários no quarto, Armários nos banheiros</t>
  </si>
  <si>
    <t>Box, Armários no quarto, Chuveiro a gás, Fogão incluso, Área de serviço</t>
  </si>
  <si>
    <t>Box, Quartos e corredores com portas amplas</t>
  </si>
  <si>
    <t>Armários na cozinha, Área de serviço</t>
  </si>
  <si>
    <t>Box, Varanda, Armários no quarto, Armários nos banheiros, Armários na cozinha, Ar condicionado, Chuveiro a gás, Closet, Área de serviço</t>
  </si>
  <si>
    <t>Varanda, Armários no quarto, Armários na cozinha, Ar condicionado, Área de serviço</t>
  </si>
  <si>
    <t>Armários nos banheiros, Área de serviço</t>
  </si>
  <si>
    <t>Box, Armários na cozinha, Chuveiro a gás, Cozinha americana, Área de serviço</t>
  </si>
  <si>
    <t>Box, Armários no quarto, Armários nos banheiros, Armários na cozinha, Chuveiro a gás, Fogão incluso, Cozinha americana, Área de serviço</t>
  </si>
  <si>
    <t>Box, Armários no quarto, Armários na cozinha, Chuveiro a gás, Fogão incluso, Geladeira inclusa, Home-office, Quartos e corredores com portas amplas, Área de serviço</t>
  </si>
  <si>
    <t>Box, Armários no quarto, Armários nos banheiros, Armários na cozinha, Ar condicionado, Fogão incluso, Área de serviço</t>
  </si>
  <si>
    <t>Armários na cozinha, Ar condicionado, Área de serviço</t>
  </si>
  <si>
    <t>Área de serviço</t>
  </si>
  <si>
    <t>Varanda, Ar condicionado, Área de serviço</t>
  </si>
  <si>
    <t>Próximo ao metrô, Elevador, Portaria 24h, Década de 80</t>
  </si>
  <si>
    <t>Próximo ao metrô, Elevador, Corrimão</t>
  </si>
  <si>
    <t>Próximo ao metrô, Elevador, Corrimão, Década de 70</t>
  </si>
  <si>
    <t>Próximo ao metrô, Elevador, Portaria 24h, Playground</t>
  </si>
  <si>
    <t>Próximo ao metrô, Elevador, Portaria 24h, Churrasqueira</t>
  </si>
  <si>
    <t>Próximo ao metrô, Elevador, Playground, Churrasqueira</t>
  </si>
  <si>
    <t>Próximo ao metrô, Elevador, Playground, Salão de festas</t>
  </si>
  <si>
    <t>Próximo ao metrô, Elevador, Playground, Década de 90</t>
  </si>
  <si>
    <t>Próximo ao metrô, Elevador, Portaria 24h, Salão de festas</t>
  </si>
  <si>
    <t>Próximo ao metrô, Elevador, Portaria 24h, Corrimão</t>
  </si>
  <si>
    <t>Próximo ao metrô, Salão de festas, Década de 60</t>
  </si>
  <si>
    <t>Próximo ao metrô, Elevador, Playground, Década de 70</t>
  </si>
  <si>
    <t>Conheça os pontos próximos ao bairro Maracanã</t>
  </si>
  <si>
    <t>Próximo ao metrô, Elevador, Portaria 24h, Década de 70</t>
  </si>
  <si>
    <t>Próximo ao metrô, Portaria 24h, Espaço gourmet na área comum, Construído em 2000</t>
  </si>
  <si>
    <t>Próximo ao metrô, Elevador, Playground, Década de 80</t>
  </si>
  <si>
    <t>Próximo ao metrô, Portaria 24h, Década de 70</t>
  </si>
  <si>
    <t>Próximo ao metrô, Corrimão, Década de 80</t>
  </si>
  <si>
    <t>Próximo ao metrô, Elevador, Corrimão, Construído em 2000</t>
  </si>
  <si>
    <t>Próximo ao metrô, Corrimão</t>
  </si>
  <si>
    <t>Próximo ao metrô, Elevador, Corrimão, Rampas de acesso</t>
  </si>
  <si>
    <t>Próximo ao metrô, Elevador</t>
  </si>
  <si>
    <t>Elevador, Corrimão, Década de 60</t>
  </si>
  <si>
    <t>Próximo ao metrô, Espaço gourmet na área comum</t>
  </si>
</sst>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"/>
      <color theme="1"/>
      <name val="Calibri"/>
      <family val="2"/>
      <scheme val="minor"/>
    </font>
    <font>
      <b/>
      <u/>
      <sz val="12"/>
      <color rgb="FF4472C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tabSelected="1" workbookViewId="0"/>
  </sheetViews>
  <sheetFormatPr defaultRowHeight="15"/>
  <cols>
    <col min="1" max="1" width="60.7109375" style="1" customWidth="1"/>
    <col min="2" max="2" width="41.7109375" style="2" customWidth="1"/>
    <col min="3" max="3" width="24.7109375" style="2" customWidth="1"/>
    <col min="4" max="4" width="43.7109375" style="2" customWidth="1"/>
    <col min="5" max="5" width="20.7109375" style="2" customWidth="1"/>
    <col min="6" max="6" width="24.7109375" style="2" customWidth="1"/>
    <col min="7" max="7" width="22.7109375" style="3" customWidth="1"/>
    <col min="8" max="8" width="19.7109375" style="2" customWidth="1"/>
    <col min="9" max="9" width="17.7109375" style="2" customWidth="1"/>
    <col min="10" max="10" width="16.7109375" style="2" customWidth="1"/>
    <col min="11" max="11" width="19.7109375" style="2" customWidth="1"/>
    <col min="12" max="12" width="23.7109375" style="2" customWidth="1"/>
    <col min="13" max="13" width="20.7109375" style="4" customWidth="1"/>
    <col min="14" max="14" width="32.7109375" style="4" customWidth="1"/>
    <col min="15" max="15" width="31.7109375" style="4" customWidth="1"/>
    <col min="16" max="16" width="28.7109375" style="3" customWidth="1"/>
    <col min="17" max="17" width="26.7109375" style="2" customWidth="1"/>
    <col min="18" max="18" width="25.7109375" style="2" customWidth="1"/>
    <col min="19" max="19" width="17.7109375" style="2" customWidth="1"/>
    <col min="20" max="20" width="27.7109375" style="2" customWidth="1"/>
    <col min="21" max="21" width="215.7109375" style="2" customWidth="1"/>
    <col min="22" max="22" width="90.7109375" style="2" customWidth="1"/>
  </cols>
  <sheetData>
    <row r="1" spans="1:22" ht="3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s="1">
        <f>HYPERLINK("https://www.quintoandar.com.br/imovel/893432134/comprar/apartamento-1-quarto-maracana-rio-de-janeiro","Compra de apartamento mobiliado com 1 quarto.")</f>
        <v>0</v>
      </c>
      <c r="B2" s="2" t="s">
        <v>22</v>
      </c>
      <c r="C2" s="2" t="s">
        <v>40</v>
      </c>
      <c r="D2" s="2" t="s">
        <v>41</v>
      </c>
      <c r="E2" s="2" t="s">
        <v>59</v>
      </c>
      <c r="F2" s="2" t="s">
        <v>60</v>
      </c>
      <c r="G2" s="3">
        <v>300000</v>
      </c>
      <c r="H2" s="2">
        <v>45</v>
      </c>
      <c r="I2" s="2">
        <v>1</v>
      </c>
      <c r="J2" s="2">
        <v>1</v>
      </c>
      <c r="K2" s="2">
        <v>1</v>
      </c>
      <c r="L2" s="2">
        <v>1</v>
      </c>
      <c r="M2" s="4">
        <v>985</v>
      </c>
      <c r="N2" s="4">
        <v>0</v>
      </c>
      <c r="O2" s="4">
        <v>0</v>
      </c>
      <c r="P2" s="3">
        <v>985</v>
      </c>
      <c r="Q2" s="2" t="s">
        <v>61</v>
      </c>
      <c r="R2" s="2" t="s">
        <v>63</v>
      </c>
      <c r="S2" s="2" t="s">
        <v>61</v>
      </c>
      <c r="T2" s="2">
        <v>1980</v>
      </c>
      <c r="U2" s="2" t="s">
        <v>67</v>
      </c>
      <c r="V2" s="2" t="s">
        <v>114</v>
      </c>
    </row>
    <row r="3" spans="1:22">
      <c r="A3" s="1">
        <f>HYPERLINK("https://www.quintoandar.com.br/imovel/894660377/comprar/apartamento-2-quartos-maracana-rio-de-janeiro","Apartamento de 2 quartos à venda.")</f>
        <v>0</v>
      </c>
      <c r="B3" s="2" t="s">
        <v>23</v>
      </c>
      <c r="C3" s="2" t="s">
        <v>40</v>
      </c>
      <c r="D3" s="2" t="s">
        <v>42</v>
      </c>
      <c r="E3" s="2" t="s">
        <v>59</v>
      </c>
      <c r="F3" s="2" t="s">
        <v>60</v>
      </c>
      <c r="G3" s="3">
        <v>300000</v>
      </c>
      <c r="H3" s="2">
        <v>65</v>
      </c>
      <c r="I3" s="2">
        <v>2</v>
      </c>
      <c r="J3" s="2">
        <v>0</v>
      </c>
      <c r="K3" s="2">
        <v>1</v>
      </c>
      <c r="L3" s="2">
        <v>0</v>
      </c>
      <c r="M3" s="4">
        <v>480</v>
      </c>
      <c r="N3" s="4">
        <v>62</v>
      </c>
      <c r="O3" s="4">
        <v>744</v>
      </c>
      <c r="P3" s="3">
        <v>542</v>
      </c>
      <c r="Q3" s="2" t="s">
        <v>61</v>
      </c>
      <c r="R3" s="2" t="s">
        <v>64</v>
      </c>
      <c r="S3" s="2" t="s">
        <v>62</v>
      </c>
      <c r="U3" s="2" t="s">
        <v>68</v>
      </c>
      <c r="V3" s="2" t="s">
        <v>115</v>
      </c>
    </row>
    <row r="4" spans="1:22">
      <c r="A4" s="1">
        <f>HYPERLINK("https://www.quintoandar.com.br/imovel/894644063/comprar/apartamento-3-quartos-maracana-rio-de-janeiro","Compra apartamento com 3 quartos, aceita animais.")</f>
        <v>0</v>
      </c>
      <c r="B4" s="2" t="s">
        <v>24</v>
      </c>
      <c r="C4" s="2" t="s">
        <v>40</v>
      </c>
      <c r="D4" s="2" t="s">
        <v>43</v>
      </c>
      <c r="E4" s="2" t="s">
        <v>59</v>
      </c>
      <c r="F4" s="2" t="s">
        <v>60</v>
      </c>
      <c r="G4" s="3">
        <v>285000</v>
      </c>
      <c r="H4" s="2">
        <v>77</v>
      </c>
      <c r="I4" s="2">
        <v>3</v>
      </c>
      <c r="J4" s="2">
        <v>1</v>
      </c>
      <c r="K4" s="2">
        <v>2</v>
      </c>
      <c r="L4" s="2">
        <v>0</v>
      </c>
      <c r="M4" s="4">
        <v>1200</v>
      </c>
      <c r="N4" s="4">
        <v>76</v>
      </c>
      <c r="O4" s="4">
        <v>912</v>
      </c>
      <c r="P4" s="3">
        <v>1276</v>
      </c>
      <c r="Q4" s="2" t="s">
        <v>61</v>
      </c>
      <c r="R4" s="2" t="s">
        <v>63</v>
      </c>
      <c r="S4" s="2" t="s">
        <v>62</v>
      </c>
      <c r="T4" s="2">
        <v>1971</v>
      </c>
      <c r="U4" s="2" t="s">
        <v>69</v>
      </c>
      <c r="V4" s="2" t="s">
        <v>116</v>
      </c>
    </row>
    <row r="5" spans="1:22">
      <c r="A5" s="1">
        <f>HYPERLINK("https://www.quintoandar.com.br/imovel/895166067/comprar/apartamento-3-quartos-maracana-rio-de-janeiro","Compra de apartamento com 3 quartos.")</f>
        <v>0</v>
      </c>
      <c r="B5" s="2" t="s">
        <v>25</v>
      </c>
      <c r="C5" s="2" t="s">
        <v>40</v>
      </c>
      <c r="D5" s="2" t="s">
        <v>41</v>
      </c>
      <c r="E5" s="2" t="s">
        <v>59</v>
      </c>
      <c r="F5" s="2" t="s">
        <v>60</v>
      </c>
      <c r="G5" s="3">
        <v>280000</v>
      </c>
      <c r="H5" s="2">
        <v>72</v>
      </c>
      <c r="I5" s="2">
        <v>3</v>
      </c>
      <c r="J5" s="2">
        <v>0</v>
      </c>
      <c r="K5" s="2">
        <v>1</v>
      </c>
      <c r="L5" s="2">
        <v>1</v>
      </c>
      <c r="M5" s="4">
        <v>723</v>
      </c>
      <c r="N5" s="4">
        <v>0</v>
      </c>
      <c r="O5" s="4">
        <v>0</v>
      </c>
      <c r="P5" s="3">
        <v>723</v>
      </c>
      <c r="Q5" s="2" t="s">
        <v>61</v>
      </c>
      <c r="R5" s="2" t="s">
        <v>64</v>
      </c>
      <c r="S5" s="2" t="s">
        <v>62</v>
      </c>
      <c r="T5" s="2">
        <v>1973</v>
      </c>
      <c r="U5" s="2" t="s">
        <v>70</v>
      </c>
      <c r="V5" s="2" t="s">
        <v>116</v>
      </c>
    </row>
    <row r="6" spans="1:22">
      <c r="A6" s="1">
        <f>HYPERLINK("https://www.quintoandar.com.br/imovel/895132918/comprar/apartamento-2-quartos-maracana-rio-de-janeiro","Compra de apartamento com 2 quartos.")</f>
        <v>0</v>
      </c>
      <c r="B6" s="2" t="s">
        <v>26</v>
      </c>
      <c r="C6" s="2" t="s">
        <v>40</v>
      </c>
      <c r="D6" s="2" t="s">
        <v>44</v>
      </c>
      <c r="E6" s="2" t="s">
        <v>59</v>
      </c>
      <c r="F6" s="2" t="s">
        <v>60</v>
      </c>
      <c r="G6" s="3">
        <v>290000</v>
      </c>
      <c r="H6" s="2">
        <v>78</v>
      </c>
      <c r="I6" s="2">
        <v>2</v>
      </c>
      <c r="J6" s="2">
        <v>0</v>
      </c>
      <c r="K6" s="2">
        <v>2</v>
      </c>
      <c r="L6" s="2">
        <v>1</v>
      </c>
      <c r="M6" s="4">
        <v>890</v>
      </c>
      <c r="N6" s="4">
        <v>134</v>
      </c>
      <c r="O6" s="4">
        <v>1608</v>
      </c>
      <c r="P6" s="3">
        <v>1024</v>
      </c>
      <c r="Q6" s="2" t="s">
        <v>61</v>
      </c>
      <c r="R6" s="2" t="s">
        <v>64</v>
      </c>
      <c r="S6" s="2" t="s">
        <v>62</v>
      </c>
      <c r="U6" s="2" t="s">
        <v>68</v>
      </c>
      <c r="V6" s="2" t="s">
        <v>117</v>
      </c>
    </row>
    <row r="7" spans="1:22">
      <c r="A7" s="1">
        <f>HYPERLINK("https://www.quintoandar.com.br/imovel/893792435/comprar/apartamento-2-quartos-maracana-rio-de-janeiro","Venda de apartamento no Maracanã com 2 quartos e churrasqueira no condomínio.")</f>
        <v>0</v>
      </c>
      <c r="B7" s="2" t="s">
        <v>27</v>
      </c>
      <c r="C7" s="2" t="s">
        <v>40</v>
      </c>
      <c r="D7" s="2" t="s">
        <v>45</v>
      </c>
      <c r="E7" s="2" t="s">
        <v>59</v>
      </c>
      <c r="F7" s="2" t="s">
        <v>60</v>
      </c>
      <c r="G7" s="3">
        <v>249000</v>
      </c>
      <c r="H7" s="2">
        <v>61</v>
      </c>
      <c r="I7" s="2">
        <v>2</v>
      </c>
      <c r="J7" s="2">
        <v>0</v>
      </c>
      <c r="K7" s="2">
        <v>2</v>
      </c>
      <c r="L7" s="2">
        <v>0</v>
      </c>
      <c r="M7" s="4">
        <v>1023</v>
      </c>
      <c r="N7" s="4">
        <v>0</v>
      </c>
      <c r="O7" s="4">
        <v>0</v>
      </c>
      <c r="P7" s="3">
        <v>1023</v>
      </c>
      <c r="Q7" s="2" t="s">
        <v>61</v>
      </c>
      <c r="R7" s="2" t="s">
        <v>63</v>
      </c>
      <c r="S7" s="2" t="s">
        <v>62</v>
      </c>
      <c r="U7" s="2" t="s">
        <v>71</v>
      </c>
      <c r="V7" s="2" t="s">
        <v>118</v>
      </c>
    </row>
    <row r="8" spans="1:22">
      <c r="A8" s="1">
        <f>HYPERLINK("https://www.quintoandar.com.br/imovel/894636274/comprar/apartamento-1-quarto-maracana-rio-de-janeiro","Apartamento à venda em Maracanã de 60 m² com varanda.")</f>
        <v>0</v>
      </c>
      <c r="B8" s="2" t="s">
        <v>24</v>
      </c>
      <c r="C8" s="2" t="s">
        <v>40</v>
      </c>
      <c r="D8" s="2" t="s">
        <v>41</v>
      </c>
      <c r="E8" s="2" t="s">
        <v>59</v>
      </c>
      <c r="F8" s="2" t="s">
        <v>60</v>
      </c>
      <c r="G8" s="3">
        <v>200000</v>
      </c>
      <c r="H8" s="2">
        <v>60</v>
      </c>
      <c r="I8" s="2">
        <v>1</v>
      </c>
      <c r="J8" s="2">
        <v>0</v>
      </c>
      <c r="K8" s="2">
        <v>2</v>
      </c>
      <c r="L8" s="2">
        <v>1</v>
      </c>
      <c r="M8" s="4">
        <v>579</v>
      </c>
      <c r="N8" s="4">
        <v>0</v>
      </c>
      <c r="O8" s="4">
        <v>0</v>
      </c>
      <c r="P8" s="3">
        <v>579</v>
      </c>
      <c r="Q8" s="2" t="s">
        <v>61</v>
      </c>
      <c r="R8" s="2" t="s">
        <v>63</v>
      </c>
      <c r="S8" s="2" t="s">
        <v>62</v>
      </c>
      <c r="U8" s="2" t="s">
        <v>72</v>
      </c>
      <c r="V8" s="2" t="s">
        <v>119</v>
      </c>
    </row>
    <row r="9" spans="1:22">
      <c r="A9" s="1">
        <f>HYPERLINK("https://www.quintoandar.com.br/imovel/894494957/comprar/apartamento-2-quartos-maracana-rio-de-janeiro","Apartamento de 2 quartos à venda.")</f>
        <v>0</v>
      </c>
      <c r="B9" s="2" t="s">
        <v>28</v>
      </c>
      <c r="C9" s="2" t="s">
        <v>40</v>
      </c>
      <c r="D9" s="2" t="s">
        <v>46</v>
      </c>
      <c r="E9" s="2" t="s">
        <v>59</v>
      </c>
      <c r="F9" s="2" t="s">
        <v>60</v>
      </c>
      <c r="G9" s="3">
        <v>300000</v>
      </c>
      <c r="H9" s="2">
        <v>70</v>
      </c>
      <c r="I9" s="2">
        <v>2</v>
      </c>
      <c r="J9" s="2">
        <v>0</v>
      </c>
      <c r="K9" s="2">
        <v>1</v>
      </c>
      <c r="L9" s="2">
        <v>0</v>
      </c>
      <c r="M9" s="4">
        <v>500</v>
      </c>
      <c r="N9" s="4">
        <v>0</v>
      </c>
      <c r="O9" s="4">
        <v>0</v>
      </c>
      <c r="P9" s="3">
        <v>500</v>
      </c>
      <c r="Q9" s="2" t="s">
        <v>61</v>
      </c>
      <c r="R9" s="2" t="s">
        <v>63</v>
      </c>
      <c r="S9" s="2" t="s">
        <v>62</v>
      </c>
      <c r="U9" s="2" t="s">
        <v>73</v>
      </c>
      <c r="V9" s="2" t="s">
        <v>16</v>
      </c>
    </row>
    <row r="10" spans="1:22">
      <c r="A10" s="1">
        <f>HYPERLINK("https://www.quintoandar.com.br/imovel/894453754/comprar/apartamento-3-quartos-maracana-rio-de-janeiro","Venda de apartamento no Maracanã com 3 quartos, ideal para quem busca compra com espaço e aceita animais.")</f>
        <v>0</v>
      </c>
      <c r="B10" s="2" t="s">
        <v>24</v>
      </c>
      <c r="C10" s="2" t="s">
        <v>40</v>
      </c>
      <c r="D10" s="2" t="s">
        <v>41</v>
      </c>
      <c r="E10" s="2" t="s">
        <v>59</v>
      </c>
      <c r="F10" s="2" t="s">
        <v>60</v>
      </c>
      <c r="G10" s="3">
        <v>275000</v>
      </c>
      <c r="H10" s="2">
        <v>100</v>
      </c>
      <c r="I10" s="2">
        <v>3</v>
      </c>
      <c r="J10" s="2">
        <v>1</v>
      </c>
      <c r="K10" s="2">
        <v>2</v>
      </c>
      <c r="L10" s="2">
        <v>1</v>
      </c>
      <c r="M10" s="4">
        <v>560</v>
      </c>
      <c r="N10" s="4">
        <v>100</v>
      </c>
      <c r="O10" s="4">
        <v>1200</v>
      </c>
      <c r="P10" s="3">
        <v>660</v>
      </c>
      <c r="Q10" s="2" t="s">
        <v>61</v>
      </c>
      <c r="R10" s="2" t="s">
        <v>63</v>
      </c>
      <c r="S10" s="2" t="s">
        <v>62</v>
      </c>
      <c r="U10" s="2" t="s">
        <v>74</v>
      </c>
      <c r="V10" s="2" t="s">
        <v>120</v>
      </c>
    </row>
    <row r="11" spans="1:22">
      <c r="A11" s="1">
        <f>HYPERLINK("https://www.quintoandar.com.br/imovel/895079862/comprar/apartamento-1-quarto-maracana-rio-de-janeiro","Apartamento à venda no Maracanã com 1 quarto e varanda. Perfeitamente localizado para quem deseja comprar.")</f>
        <v>0</v>
      </c>
      <c r="B11" s="2" t="s">
        <v>29</v>
      </c>
      <c r="C11" s="2" t="s">
        <v>40</v>
      </c>
      <c r="D11" s="2" t="s">
        <v>41</v>
      </c>
      <c r="E11" s="2" t="s">
        <v>59</v>
      </c>
      <c r="F11" s="2" t="s">
        <v>60</v>
      </c>
      <c r="G11" s="3">
        <v>213000</v>
      </c>
      <c r="H11" s="2">
        <v>65</v>
      </c>
      <c r="I11" s="2">
        <v>1</v>
      </c>
      <c r="J11" s="2">
        <v>0</v>
      </c>
      <c r="K11" s="2">
        <v>1</v>
      </c>
      <c r="L11" s="2">
        <v>1</v>
      </c>
      <c r="M11" s="4">
        <v>880</v>
      </c>
      <c r="N11" s="4">
        <v>65</v>
      </c>
      <c r="O11" s="4">
        <v>780</v>
      </c>
      <c r="P11" s="3">
        <v>945</v>
      </c>
      <c r="Q11" s="2" t="s">
        <v>61</v>
      </c>
      <c r="R11" s="2" t="s">
        <v>63</v>
      </c>
      <c r="S11" s="2" t="s">
        <v>62</v>
      </c>
      <c r="T11" s="2">
        <v>1991</v>
      </c>
      <c r="U11" s="2" t="s">
        <v>75</v>
      </c>
      <c r="V11" s="2" t="s">
        <v>121</v>
      </c>
    </row>
    <row r="12" spans="1:22">
      <c r="A12" s="1">
        <f>HYPERLINK("https://www.quintoandar.com.br/imovel/895123566/comprar/apartamento-2-quartos-maracana-rio-de-janeiro","Comprar apartamento no Maracanã com 2 quartos. Oportunidades únicas para quem busca um novo lar.")</f>
        <v>0</v>
      </c>
      <c r="B12" s="2" t="s">
        <v>26</v>
      </c>
      <c r="C12" s="2" t="s">
        <v>40</v>
      </c>
      <c r="D12" s="2" t="s">
        <v>47</v>
      </c>
      <c r="E12" s="2" t="s">
        <v>59</v>
      </c>
      <c r="F12" s="2" t="s">
        <v>60</v>
      </c>
      <c r="G12" s="3">
        <v>347500</v>
      </c>
      <c r="H12" s="2">
        <v>61</v>
      </c>
      <c r="I12" s="2">
        <v>2</v>
      </c>
      <c r="J12" s="2">
        <v>0</v>
      </c>
      <c r="K12" s="2">
        <v>2</v>
      </c>
      <c r="L12" s="2">
        <v>1</v>
      </c>
      <c r="M12" s="4">
        <v>1037</v>
      </c>
      <c r="N12" s="4">
        <v>65</v>
      </c>
      <c r="O12" s="4">
        <v>780</v>
      </c>
      <c r="P12" s="3">
        <v>1102</v>
      </c>
      <c r="Q12" s="2" t="s">
        <v>61</v>
      </c>
      <c r="R12" s="2" t="s">
        <v>63</v>
      </c>
      <c r="S12" s="2" t="s">
        <v>62</v>
      </c>
      <c r="U12" s="2" t="s">
        <v>76</v>
      </c>
      <c r="V12" s="2" t="s">
        <v>122</v>
      </c>
    </row>
    <row r="13" spans="1:22">
      <c r="A13" s="1">
        <f>HYPERLINK("https://www.quintoandar.com.br/imovel/894318181/comprar/apartamento-3-quartos-maracana-rio-de-janeiro","Comprar apartamento no Maracanã com 3 quartos e 1 suíte disponível para venda.")</f>
        <v>0</v>
      </c>
      <c r="B13" s="2" t="s">
        <v>24</v>
      </c>
      <c r="C13" s="2" t="s">
        <v>40</v>
      </c>
      <c r="D13" s="2" t="s">
        <v>41</v>
      </c>
      <c r="E13" s="2" t="s">
        <v>59</v>
      </c>
      <c r="F13" s="2" t="s">
        <v>60</v>
      </c>
      <c r="G13" s="3">
        <v>205000</v>
      </c>
      <c r="H13" s="2">
        <v>89</v>
      </c>
      <c r="I13" s="2">
        <v>3</v>
      </c>
      <c r="J13" s="2">
        <v>1</v>
      </c>
      <c r="K13" s="2">
        <v>2</v>
      </c>
      <c r="L13" s="2">
        <v>1</v>
      </c>
      <c r="M13" s="4">
        <v>950</v>
      </c>
      <c r="N13" s="4">
        <v>90</v>
      </c>
      <c r="O13" s="4">
        <v>1080</v>
      </c>
      <c r="P13" s="3">
        <v>1040</v>
      </c>
      <c r="Q13" s="2" t="s">
        <v>61</v>
      </c>
      <c r="R13" s="2" t="s">
        <v>64</v>
      </c>
      <c r="S13" s="2" t="s">
        <v>62</v>
      </c>
      <c r="U13" s="2" t="s">
        <v>77</v>
      </c>
      <c r="V13" s="2" t="s">
        <v>118</v>
      </c>
    </row>
    <row r="14" spans="1:22">
      <c r="A14" s="1">
        <f>HYPERLINK("https://www.quintoandar.com.br/imovel/894547631/comprar/apartamento-2-quartos-maracana-rio-de-janeiro","Apartamento de 2 quartos à venda, excelente opção para comprar. Não perca essa oportunidade de compra!")</f>
        <v>0</v>
      </c>
      <c r="B14" s="2" t="s">
        <v>24</v>
      </c>
      <c r="C14" s="2" t="s">
        <v>40</v>
      </c>
      <c r="D14" s="2" t="s">
        <v>41</v>
      </c>
      <c r="E14" s="2" t="s">
        <v>59</v>
      </c>
      <c r="F14" s="2" t="s">
        <v>60</v>
      </c>
      <c r="G14" s="3">
        <v>190000</v>
      </c>
      <c r="H14" s="2">
        <v>67</v>
      </c>
      <c r="I14" s="2">
        <v>2</v>
      </c>
      <c r="J14" s="2">
        <v>0</v>
      </c>
      <c r="K14" s="2">
        <v>1</v>
      </c>
      <c r="L14" s="2">
        <v>1</v>
      </c>
      <c r="M14" s="4">
        <v>750</v>
      </c>
      <c r="N14" s="4">
        <v>0</v>
      </c>
      <c r="O14" s="4">
        <v>0</v>
      </c>
      <c r="P14" s="3">
        <v>750</v>
      </c>
      <c r="Q14" s="2" t="s">
        <v>61</v>
      </c>
      <c r="R14" s="2" t="s">
        <v>64</v>
      </c>
      <c r="S14" s="2" t="s">
        <v>62</v>
      </c>
      <c r="U14" s="2" t="s">
        <v>73</v>
      </c>
      <c r="V14" s="2" t="s">
        <v>118</v>
      </c>
    </row>
    <row r="15" spans="1:22">
      <c r="A15" s="1">
        <f>HYPERLINK("https://www.quintoandar.com.br/imovel/893557276/comprar/apartamento-3-quartos-maracana-rio-de-janeiro","Apartamento à venda em Maracanã de 72 m².")</f>
        <v>0</v>
      </c>
      <c r="B15" s="2" t="s">
        <v>26</v>
      </c>
      <c r="C15" s="2" t="s">
        <v>40</v>
      </c>
      <c r="D15" s="2" t="s">
        <v>41</v>
      </c>
      <c r="E15" s="2" t="s">
        <v>59</v>
      </c>
      <c r="F15" s="2" t="s">
        <v>60</v>
      </c>
      <c r="G15" s="3">
        <v>245000</v>
      </c>
      <c r="H15" s="2">
        <v>72</v>
      </c>
      <c r="I15" s="2">
        <v>3</v>
      </c>
      <c r="J15" s="2">
        <v>0</v>
      </c>
      <c r="K15" s="2">
        <v>1</v>
      </c>
      <c r="L15" s="2">
        <v>0</v>
      </c>
      <c r="M15" s="4">
        <v>723</v>
      </c>
      <c r="N15" s="4">
        <v>0</v>
      </c>
      <c r="O15" s="4">
        <v>0</v>
      </c>
      <c r="P15" s="3">
        <v>723</v>
      </c>
      <c r="Q15" s="2" t="s">
        <v>61</v>
      </c>
      <c r="R15" s="2" t="s">
        <v>63</v>
      </c>
      <c r="S15" s="2" t="s">
        <v>62</v>
      </c>
      <c r="T15" s="2">
        <v>1973</v>
      </c>
      <c r="U15" s="2" t="s">
        <v>78</v>
      </c>
      <c r="V15" s="2" t="s">
        <v>116</v>
      </c>
    </row>
    <row r="16" spans="1:22">
      <c r="A16" s="1">
        <f>HYPERLINK("https://www.quintoandar.com.br/imovel/895023090/comprar/apartamento-1-quarto-maracana-rio-de-janeiro","Venda de apartamento no Maracanã com 1 quarto.")</f>
        <v>0</v>
      </c>
      <c r="B16" s="2" t="s">
        <v>30</v>
      </c>
      <c r="C16" s="2" t="s">
        <v>40</v>
      </c>
      <c r="D16" s="2" t="s">
        <v>48</v>
      </c>
      <c r="E16" s="2" t="s">
        <v>59</v>
      </c>
      <c r="F16" s="2" t="s">
        <v>60</v>
      </c>
      <c r="G16" s="3">
        <v>268000</v>
      </c>
      <c r="H16" s="2">
        <v>35</v>
      </c>
      <c r="I16" s="2">
        <v>1</v>
      </c>
      <c r="J16" s="2">
        <v>0</v>
      </c>
      <c r="K16" s="2">
        <v>1</v>
      </c>
      <c r="L16" s="2">
        <v>0</v>
      </c>
      <c r="M16" s="4">
        <v>720</v>
      </c>
      <c r="N16" s="4">
        <v>0</v>
      </c>
      <c r="O16" s="4">
        <v>0</v>
      </c>
      <c r="P16" s="3">
        <v>720</v>
      </c>
      <c r="Q16" s="2" t="s">
        <v>61</v>
      </c>
      <c r="R16" s="2" t="s">
        <v>64</v>
      </c>
      <c r="S16" s="2" t="s">
        <v>62</v>
      </c>
      <c r="U16" s="2" t="s">
        <v>76</v>
      </c>
      <c r="V16" s="2" t="s">
        <v>123</v>
      </c>
    </row>
    <row r="17" spans="1:22">
      <c r="A17" s="1">
        <f>HYPERLINK("https://www.quintoandar.com.br/imovel/895152538/comprar/apartamento-2-quartos-maracana-rio-de-janeiro","Apartamento no Maracanã com 2 quartos, disponível para comprar.")</f>
        <v>0</v>
      </c>
      <c r="B17" s="2" t="s">
        <v>26</v>
      </c>
      <c r="C17" s="2" t="s">
        <v>40</v>
      </c>
      <c r="D17" s="2" t="s">
        <v>49</v>
      </c>
      <c r="E17" s="2" t="s">
        <v>59</v>
      </c>
      <c r="F17" s="2" t="s">
        <v>60</v>
      </c>
      <c r="G17" s="3">
        <v>320000</v>
      </c>
      <c r="H17" s="2">
        <v>77</v>
      </c>
      <c r="I17" s="2">
        <v>2</v>
      </c>
      <c r="J17" s="2">
        <v>0</v>
      </c>
      <c r="K17" s="2">
        <v>1</v>
      </c>
      <c r="L17" s="2">
        <v>0</v>
      </c>
      <c r="M17" s="4">
        <v>820</v>
      </c>
      <c r="N17" s="4">
        <v>92</v>
      </c>
      <c r="O17" s="4">
        <v>1104</v>
      </c>
      <c r="P17" s="3">
        <v>912</v>
      </c>
      <c r="Q17" s="2" t="s">
        <v>61</v>
      </c>
      <c r="R17" s="2" t="s">
        <v>64</v>
      </c>
      <c r="S17" s="2" t="s">
        <v>62</v>
      </c>
      <c r="T17" s="2">
        <v>1974</v>
      </c>
      <c r="U17" s="2" t="s">
        <v>79</v>
      </c>
      <c r="V17" s="2" t="s">
        <v>116</v>
      </c>
    </row>
    <row r="18" spans="1:22">
      <c r="A18" s="1">
        <f>HYPERLINK("https://www.quintoandar.com.br/imovel/893921773/comprar/apartamento-1-quarto-maracana-rio-de-janeiro","Compre apartamento mobiliado no Maracanã com varanda gourmet e um quarto. Excelente oportunidade de compra!")</f>
        <v>0</v>
      </c>
      <c r="B18" s="2" t="s">
        <v>24</v>
      </c>
      <c r="C18" s="2" t="s">
        <v>40</v>
      </c>
      <c r="D18" s="2" t="s">
        <v>41</v>
      </c>
      <c r="E18" s="2" t="s">
        <v>59</v>
      </c>
      <c r="F18" s="2" t="s">
        <v>60</v>
      </c>
      <c r="G18" s="3">
        <v>325000</v>
      </c>
      <c r="H18" s="2">
        <v>52</v>
      </c>
      <c r="I18" s="2">
        <v>1</v>
      </c>
      <c r="J18" s="2">
        <v>0</v>
      </c>
      <c r="K18" s="2">
        <v>1</v>
      </c>
      <c r="L18" s="2">
        <v>1</v>
      </c>
      <c r="M18" s="4">
        <v>913</v>
      </c>
      <c r="N18" s="4">
        <v>0</v>
      </c>
      <c r="O18" s="4">
        <v>0</v>
      </c>
      <c r="P18" s="3">
        <v>913</v>
      </c>
      <c r="Q18" s="2" t="s">
        <v>61</v>
      </c>
      <c r="R18" s="2" t="s">
        <v>63</v>
      </c>
      <c r="S18" s="2" t="s">
        <v>61</v>
      </c>
      <c r="T18" s="2">
        <v>1980</v>
      </c>
      <c r="U18" s="2" t="s">
        <v>80</v>
      </c>
      <c r="V18" s="2" t="s">
        <v>114</v>
      </c>
    </row>
    <row r="19" spans="1:22">
      <c r="A19" s="1">
        <f>HYPERLINK("https://www.quintoandar.com.br/imovel/895022925/comprar/apartamento-1-quarto-maracana-rio-de-janeiro","Comprar apartamento de 1 quarto no Maracanã. Excelente oportunidade no bairro para quem busca praticar economia.")</f>
        <v>0</v>
      </c>
      <c r="B19" s="2" t="s">
        <v>28</v>
      </c>
      <c r="C19" s="2" t="s">
        <v>40</v>
      </c>
      <c r="D19" s="2" t="s">
        <v>41</v>
      </c>
      <c r="E19" s="2" t="s">
        <v>59</v>
      </c>
      <c r="F19" s="2" t="s">
        <v>60</v>
      </c>
      <c r="G19" s="3">
        <v>300000</v>
      </c>
      <c r="H19" s="2">
        <v>60</v>
      </c>
      <c r="I19" s="2">
        <v>1</v>
      </c>
      <c r="J19" s="2">
        <v>1</v>
      </c>
      <c r="K19" s="2">
        <v>1</v>
      </c>
      <c r="L19" s="2">
        <v>1</v>
      </c>
      <c r="M19" s="4">
        <v>800</v>
      </c>
      <c r="N19" s="4">
        <v>0</v>
      </c>
      <c r="O19" s="4">
        <v>0</v>
      </c>
      <c r="P19" s="3">
        <v>800</v>
      </c>
      <c r="Q19" s="2" t="s">
        <v>61</v>
      </c>
      <c r="R19" s="2" t="s">
        <v>63</v>
      </c>
      <c r="S19" s="2" t="s">
        <v>62</v>
      </c>
      <c r="U19" s="2" t="s">
        <v>81</v>
      </c>
      <c r="V19" s="2" t="s">
        <v>119</v>
      </c>
    </row>
    <row r="20" spans="1:22">
      <c r="A20" s="1">
        <f>HYPERLINK("https://www.quintoandar.com.br/imovel/893150655/comprar/apartamento-2-quartos-maracana-rio-de-janeiro","Apartamento à venda no Maracanã com 2 quartos e aceita pets. Excelente opção disponível para comprar já!")</f>
        <v>0</v>
      </c>
      <c r="B20" s="2" t="s">
        <v>24</v>
      </c>
      <c r="C20" s="2" t="s">
        <v>40</v>
      </c>
      <c r="D20" s="2" t="s">
        <v>50</v>
      </c>
      <c r="E20" s="2" t="s">
        <v>59</v>
      </c>
      <c r="F20" s="2" t="s">
        <v>60</v>
      </c>
      <c r="G20" s="3">
        <v>295000</v>
      </c>
      <c r="H20" s="2">
        <v>62</v>
      </c>
      <c r="I20" s="2">
        <v>2</v>
      </c>
      <c r="J20" s="2">
        <v>0</v>
      </c>
      <c r="K20" s="2">
        <v>2</v>
      </c>
      <c r="L20" s="2">
        <v>0</v>
      </c>
      <c r="M20" s="4">
        <v>700</v>
      </c>
      <c r="N20" s="4">
        <v>51</v>
      </c>
      <c r="O20" s="4">
        <v>612</v>
      </c>
      <c r="P20" s="3">
        <v>751</v>
      </c>
      <c r="Q20" s="2" t="s">
        <v>61</v>
      </c>
      <c r="R20" s="2" t="s">
        <v>64</v>
      </c>
      <c r="S20" s="2" t="s">
        <v>62</v>
      </c>
      <c r="T20" s="2">
        <v>1961</v>
      </c>
      <c r="U20" s="2" t="s">
        <v>82</v>
      </c>
      <c r="V20" s="2" t="s">
        <v>124</v>
      </c>
    </row>
    <row r="21" spans="1:22">
      <c r="A21" s="1">
        <f>HYPERLINK("https://www.quintoandar.com.br/imovel/894757248/comprar/apartamento-3-quartos-maracana-rio-de-janeiro","Comprar apartamento no Maracanã com 3 quartos. Excelente oportunidade em um dos melhores bairros da cidade.")</f>
        <v>0</v>
      </c>
      <c r="B21" s="2" t="s">
        <v>31</v>
      </c>
      <c r="C21" s="2" t="s">
        <v>40</v>
      </c>
      <c r="D21" s="2" t="s">
        <v>41</v>
      </c>
      <c r="E21" s="2" t="s">
        <v>59</v>
      </c>
      <c r="F21" s="2" t="s">
        <v>60</v>
      </c>
      <c r="G21" s="3">
        <v>331000</v>
      </c>
      <c r="H21" s="2">
        <v>110</v>
      </c>
      <c r="I21" s="2">
        <v>3</v>
      </c>
      <c r="J21" s="2">
        <v>1</v>
      </c>
      <c r="K21" s="2">
        <v>2</v>
      </c>
      <c r="L21" s="2">
        <v>1</v>
      </c>
      <c r="M21" s="4">
        <v>1100</v>
      </c>
      <c r="N21" s="4">
        <v>89</v>
      </c>
      <c r="O21" s="4">
        <v>1068</v>
      </c>
      <c r="P21" s="3">
        <v>1189</v>
      </c>
      <c r="Q21" s="2" t="s">
        <v>61</v>
      </c>
      <c r="R21" s="2" t="s">
        <v>63</v>
      </c>
      <c r="S21" s="2" t="s">
        <v>62</v>
      </c>
      <c r="T21" s="2">
        <v>1973</v>
      </c>
      <c r="U21" s="2" t="s">
        <v>76</v>
      </c>
      <c r="V21" s="2" t="s">
        <v>125</v>
      </c>
    </row>
    <row r="22" spans="1:22">
      <c r="A22" s="1">
        <f>HYPERLINK("https://www.quintoandar.com.br/imovel/893129299/comprar/apartamento-2-quartos-maracana-rio-de-janeiro","Apartamento com 2 quartos.")</f>
        <v>0</v>
      </c>
      <c r="B22" s="2" t="s">
        <v>32</v>
      </c>
      <c r="C22" s="2" t="s">
        <v>40</v>
      </c>
      <c r="D22" s="2" t="s">
        <v>46</v>
      </c>
      <c r="E22" s="2" t="s">
        <v>59</v>
      </c>
      <c r="F22" s="2" t="s">
        <v>60</v>
      </c>
      <c r="G22" s="3">
        <v>300000</v>
      </c>
      <c r="H22" s="2">
        <v>66</v>
      </c>
      <c r="I22" s="2">
        <v>2</v>
      </c>
      <c r="J22" s="2">
        <v>0</v>
      </c>
      <c r="K22" s="2">
        <v>1</v>
      </c>
      <c r="L22" s="2">
        <v>0</v>
      </c>
      <c r="M22" s="4">
        <v>660</v>
      </c>
      <c r="N22" s="4">
        <v>0</v>
      </c>
      <c r="O22" s="4">
        <v>0</v>
      </c>
      <c r="P22" s="3">
        <v>660</v>
      </c>
      <c r="Q22" s="2" t="s">
        <v>61</v>
      </c>
      <c r="R22" s="2" t="s">
        <v>63</v>
      </c>
      <c r="S22" s="2" t="s">
        <v>62</v>
      </c>
      <c r="U22" s="2" t="s">
        <v>83</v>
      </c>
      <c r="V22" s="2" t="s">
        <v>16</v>
      </c>
    </row>
    <row r="23" spans="1:22">
      <c r="A23" s="1">
        <f>HYPERLINK("https://www.quintoandar.com.br/imovel/894490787/comprar/apartamento-2-quartos-maracana-rio-de-janeiro","Venda de apartamento no Maracanã! 2 quartos disponíveis para compra em ótima localização. Aproveite para comprar hoje mesmo!")</f>
        <v>0</v>
      </c>
      <c r="B23" s="2" t="s">
        <v>24</v>
      </c>
      <c r="C23" s="2" t="s">
        <v>40</v>
      </c>
      <c r="D23" s="2" t="s">
        <v>41</v>
      </c>
      <c r="E23" s="2" t="s">
        <v>59</v>
      </c>
      <c r="F23" s="2" t="s">
        <v>60</v>
      </c>
      <c r="G23" s="3">
        <v>170000</v>
      </c>
      <c r="H23" s="2">
        <v>57</v>
      </c>
      <c r="I23" s="2">
        <v>2</v>
      </c>
      <c r="J23" s="2">
        <v>1</v>
      </c>
      <c r="K23" s="2">
        <v>2</v>
      </c>
      <c r="L23" s="2">
        <v>0</v>
      </c>
      <c r="M23" s="4">
        <v>0</v>
      </c>
      <c r="N23" s="4">
        <v>0</v>
      </c>
      <c r="O23" s="4">
        <v>0</v>
      </c>
      <c r="P23" s="3">
        <v>0</v>
      </c>
      <c r="Q23" s="2" t="s">
        <v>61</v>
      </c>
      <c r="R23" s="2" t="s">
        <v>64</v>
      </c>
      <c r="S23" s="2" t="s">
        <v>62</v>
      </c>
      <c r="U23" s="2" t="s">
        <v>84</v>
      </c>
      <c r="V23" s="2" t="s">
        <v>126</v>
      </c>
    </row>
    <row r="24" spans="1:22">
      <c r="A24" s="1">
        <f>HYPERLINK("https://www.quintoandar.com.br/imovel/894621014/comprar/apartamento-3-quartos-maracana-rio-de-janeiro","Apartamento com 3 quartos disponível para compra. Uma excelente oportunidade para adquirir seu imóvel.")</f>
        <v>0</v>
      </c>
      <c r="B24" s="2" t="s">
        <v>24</v>
      </c>
      <c r="C24" s="2" t="s">
        <v>40</v>
      </c>
      <c r="D24" s="2" t="s">
        <v>41</v>
      </c>
      <c r="E24" s="2" t="s">
        <v>59</v>
      </c>
      <c r="F24" s="2" t="s">
        <v>60</v>
      </c>
      <c r="G24" s="3">
        <v>265000</v>
      </c>
      <c r="H24" s="2">
        <v>77</v>
      </c>
      <c r="I24" s="2">
        <v>3</v>
      </c>
      <c r="J24" s="2">
        <v>0</v>
      </c>
      <c r="K24" s="2">
        <v>2</v>
      </c>
      <c r="L24" s="2">
        <v>1</v>
      </c>
      <c r="M24" s="4">
        <v>900</v>
      </c>
      <c r="N24" s="4">
        <v>57</v>
      </c>
      <c r="O24" s="4">
        <v>684</v>
      </c>
      <c r="P24" s="3">
        <v>957</v>
      </c>
      <c r="Q24" s="2" t="s">
        <v>61</v>
      </c>
      <c r="R24" s="2" t="s">
        <v>65</v>
      </c>
      <c r="S24" s="2" t="s">
        <v>62</v>
      </c>
      <c r="T24" s="2">
        <v>1973</v>
      </c>
      <c r="U24" s="2" t="s">
        <v>85</v>
      </c>
      <c r="V24" s="2" t="s">
        <v>127</v>
      </c>
    </row>
    <row r="25" spans="1:22">
      <c r="A25" s="1">
        <f>HYPERLINK("https://www.quintoandar.com.br/imovel/893778122/comprar/apartamento-2-quartos-maracana-rio-de-janeiro","Comprar apartamento com 2 quartos.")</f>
        <v>0</v>
      </c>
      <c r="B25" s="2" t="s">
        <v>33</v>
      </c>
      <c r="C25" s="2" t="s">
        <v>40</v>
      </c>
      <c r="D25" s="2" t="s">
        <v>48</v>
      </c>
      <c r="E25" s="2" t="s">
        <v>59</v>
      </c>
      <c r="F25" s="2" t="s">
        <v>60</v>
      </c>
      <c r="G25" s="3">
        <v>330000</v>
      </c>
      <c r="H25" s="2">
        <v>67</v>
      </c>
      <c r="I25" s="2">
        <v>2</v>
      </c>
      <c r="J25" s="2">
        <v>0</v>
      </c>
      <c r="K25" s="2">
        <v>1</v>
      </c>
      <c r="L25" s="2">
        <v>1</v>
      </c>
      <c r="M25" s="4">
        <v>850</v>
      </c>
      <c r="N25" s="4">
        <v>0</v>
      </c>
      <c r="O25" s="4">
        <v>0</v>
      </c>
      <c r="P25" s="3">
        <v>850</v>
      </c>
      <c r="Q25" s="2" t="s">
        <v>61</v>
      </c>
      <c r="R25" s="2" t="s">
        <v>64</v>
      </c>
      <c r="S25" s="2" t="s">
        <v>62</v>
      </c>
      <c r="T25" s="2">
        <v>2000</v>
      </c>
      <c r="U25" s="2" t="s">
        <v>86</v>
      </c>
      <c r="V25" s="2" t="s">
        <v>128</v>
      </c>
    </row>
    <row r="26" spans="1:22">
      <c r="A26" s="1">
        <f>HYPERLINK("https://www.quintoandar.com.br/imovel/895024121/comprar/apartamento-2-quartos-maracana-rio-de-janeiro","Apartamento no Maracanã com 2 quartos, perfeito para comprar. Aceitam-se animais de estimação.")</f>
        <v>0</v>
      </c>
      <c r="B26" s="2" t="s">
        <v>28</v>
      </c>
      <c r="C26" s="2" t="s">
        <v>40</v>
      </c>
      <c r="D26" s="2" t="s">
        <v>41</v>
      </c>
      <c r="E26" s="2" t="s">
        <v>59</v>
      </c>
      <c r="F26" s="2" t="s">
        <v>60</v>
      </c>
      <c r="G26" s="3">
        <v>200000</v>
      </c>
      <c r="H26" s="2">
        <v>50</v>
      </c>
      <c r="I26" s="2">
        <v>2</v>
      </c>
      <c r="J26" s="2">
        <v>0</v>
      </c>
      <c r="K26" s="2">
        <v>1</v>
      </c>
      <c r="L26" s="2">
        <v>1</v>
      </c>
      <c r="M26" s="4">
        <v>707</v>
      </c>
      <c r="N26" s="4">
        <v>0</v>
      </c>
      <c r="O26" s="4">
        <v>0</v>
      </c>
      <c r="P26" s="3">
        <v>707</v>
      </c>
      <c r="Q26" s="2" t="s">
        <v>61</v>
      </c>
      <c r="R26" s="2" t="s">
        <v>66</v>
      </c>
      <c r="S26" s="2" t="s">
        <v>62</v>
      </c>
      <c r="T26" s="2">
        <v>1975</v>
      </c>
      <c r="U26" s="2" t="s">
        <v>76</v>
      </c>
      <c r="V26" s="2" t="s">
        <v>116</v>
      </c>
    </row>
    <row r="27" spans="1:22">
      <c r="A27" s="1">
        <f>HYPERLINK("https://www.quintoandar.com.br/imovel/894708197/comprar/apartamento-2-quartos-maracana-rio-de-janeiro","Apartamento de 2 quartos à venda, ideal para pessoas que desejam comprar um espaço prático e confortável.")</f>
        <v>0</v>
      </c>
      <c r="B27" s="2" t="s">
        <v>34</v>
      </c>
      <c r="C27" s="2" t="s">
        <v>40</v>
      </c>
      <c r="D27" s="2" t="s">
        <v>51</v>
      </c>
      <c r="E27" s="2" t="s">
        <v>59</v>
      </c>
      <c r="F27" s="2" t="s">
        <v>60</v>
      </c>
      <c r="G27" s="3">
        <v>275000</v>
      </c>
      <c r="H27" s="2">
        <v>86</v>
      </c>
      <c r="I27" s="2">
        <v>2</v>
      </c>
      <c r="J27" s="2">
        <v>0</v>
      </c>
      <c r="K27" s="2">
        <v>1</v>
      </c>
      <c r="L27" s="2">
        <v>0</v>
      </c>
      <c r="M27" s="4">
        <v>400</v>
      </c>
      <c r="N27" s="4">
        <v>100</v>
      </c>
      <c r="O27" s="4">
        <v>1200</v>
      </c>
      <c r="P27" s="3">
        <v>500</v>
      </c>
      <c r="Q27" s="2" t="s">
        <v>61</v>
      </c>
      <c r="R27" s="2" t="s">
        <v>64</v>
      </c>
      <c r="S27" s="2" t="s">
        <v>62</v>
      </c>
      <c r="U27" s="2" t="s">
        <v>87</v>
      </c>
      <c r="V27" s="2" t="s">
        <v>16</v>
      </c>
    </row>
    <row r="28" spans="1:22">
      <c r="A28" s="1">
        <f>HYPERLINK("https://www.quintoandar.com.br/imovel/893376218/comprar/apartamento-1-quarto-maracana-rio-de-janeiro","Apartamento para comprar com 1 quarto e pets bem-vindos. Excelente oportunidade para venda!")</f>
        <v>0</v>
      </c>
      <c r="B28" s="2" t="s">
        <v>24</v>
      </c>
      <c r="C28" s="2" t="s">
        <v>40</v>
      </c>
      <c r="D28" s="2" t="s">
        <v>44</v>
      </c>
      <c r="E28" s="2" t="s">
        <v>59</v>
      </c>
      <c r="F28" s="2" t="s">
        <v>60</v>
      </c>
      <c r="G28" s="3">
        <v>260000</v>
      </c>
      <c r="H28" s="2">
        <v>53</v>
      </c>
      <c r="I28" s="2">
        <v>1</v>
      </c>
      <c r="J28" s="2">
        <v>0</v>
      </c>
      <c r="K28" s="2">
        <v>1</v>
      </c>
      <c r="L28" s="2">
        <v>1</v>
      </c>
      <c r="M28" s="4">
        <v>984</v>
      </c>
      <c r="N28" s="4">
        <v>0</v>
      </c>
      <c r="O28" s="4">
        <v>0</v>
      </c>
      <c r="P28" s="3">
        <v>984</v>
      </c>
      <c r="Q28" s="2" t="s">
        <v>61</v>
      </c>
      <c r="R28" s="2" t="s">
        <v>63</v>
      </c>
      <c r="S28" s="2" t="s">
        <v>62</v>
      </c>
      <c r="U28" s="2" t="s">
        <v>88</v>
      </c>
      <c r="V28" s="2" t="s">
        <v>120</v>
      </c>
    </row>
    <row r="29" spans="1:22">
      <c r="A29" s="1">
        <f>HYPERLINK("https://www.quintoandar.com.br/imovel/894855548/comprar/apartamento-2-quartos-maracana-rio-de-janeiro","Venda de apartamento no Maracanã com 2 quartos. Aceitam-se animais de estimação.")</f>
        <v>0</v>
      </c>
      <c r="B29" s="2" t="s">
        <v>35</v>
      </c>
      <c r="C29" s="2" t="s">
        <v>40</v>
      </c>
      <c r="D29" s="2" t="s">
        <v>41</v>
      </c>
      <c r="E29" s="2" t="s">
        <v>59</v>
      </c>
      <c r="F29" s="2" t="s">
        <v>60</v>
      </c>
      <c r="G29" s="3">
        <v>285000</v>
      </c>
      <c r="H29" s="2">
        <v>80</v>
      </c>
      <c r="I29" s="2">
        <v>2</v>
      </c>
      <c r="J29" s="2">
        <v>1</v>
      </c>
      <c r="K29" s="2">
        <v>2</v>
      </c>
      <c r="L29" s="2">
        <v>1</v>
      </c>
      <c r="M29" s="4">
        <v>960</v>
      </c>
      <c r="N29" s="4">
        <v>0</v>
      </c>
      <c r="O29" s="4">
        <v>0</v>
      </c>
      <c r="P29" s="3">
        <v>960</v>
      </c>
      <c r="Q29" s="2" t="s">
        <v>61</v>
      </c>
      <c r="R29" s="2" t="s">
        <v>64</v>
      </c>
      <c r="S29" s="2" t="s">
        <v>62</v>
      </c>
      <c r="T29" s="2">
        <v>1973</v>
      </c>
      <c r="U29" s="2" t="s">
        <v>76</v>
      </c>
      <c r="V29" s="2" t="s">
        <v>127</v>
      </c>
    </row>
    <row r="30" spans="1:22">
      <c r="A30" s="1">
        <f>HYPERLINK("https://www.quintoandar.com.br/imovel/893424559/comprar/apartamento-2-quartos-maracana-rio-de-janeiro","Comprar apartamento no Maracanã com 2 quartos e churrasqueira no condomínio.")</f>
        <v>0</v>
      </c>
      <c r="B30" s="2" t="s">
        <v>24</v>
      </c>
      <c r="C30" s="2" t="s">
        <v>40</v>
      </c>
      <c r="D30" s="2" t="s">
        <v>44</v>
      </c>
      <c r="E30" s="2" t="s">
        <v>59</v>
      </c>
      <c r="F30" s="2" t="s">
        <v>60</v>
      </c>
      <c r="G30" s="3">
        <v>298000</v>
      </c>
      <c r="H30" s="2">
        <v>56</v>
      </c>
      <c r="I30" s="2">
        <v>2</v>
      </c>
      <c r="J30" s="2">
        <v>0</v>
      </c>
      <c r="K30" s="2">
        <v>1</v>
      </c>
      <c r="L30" s="2">
        <v>1</v>
      </c>
      <c r="M30" s="4">
        <v>700</v>
      </c>
      <c r="N30" s="4">
        <v>0</v>
      </c>
      <c r="O30" s="4">
        <v>0</v>
      </c>
      <c r="P30" s="3">
        <v>700</v>
      </c>
      <c r="Q30" s="2" t="s">
        <v>61</v>
      </c>
      <c r="R30" s="2" t="s">
        <v>64</v>
      </c>
      <c r="S30" s="2" t="s">
        <v>62</v>
      </c>
      <c r="U30" s="2" t="s">
        <v>89</v>
      </c>
      <c r="V30" s="2" t="s">
        <v>117</v>
      </c>
    </row>
    <row r="31" spans="1:22">
      <c r="A31" s="1">
        <f>HYPERLINK("https://www.quintoandar.com.br/imovel/894065448/comprar/apartamento-1-quarto-maracana-rio-de-janeiro","Apartamento mobiliado, 1 quarto, para comprar.")</f>
        <v>0</v>
      </c>
      <c r="B31" s="2" t="s">
        <v>24</v>
      </c>
      <c r="C31" s="2" t="s">
        <v>40</v>
      </c>
      <c r="D31" s="2" t="s">
        <v>41</v>
      </c>
      <c r="E31" s="2" t="s">
        <v>59</v>
      </c>
      <c r="F31" s="2" t="s">
        <v>60</v>
      </c>
      <c r="G31" s="3">
        <v>308000</v>
      </c>
      <c r="H31" s="2">
        <v>55</v>
      </c>
      <c r="I31" s="2">
        <v>1</v>
      </c>
      <c r="J31" s="2">
        <v>0</v>
      </c>
      <c r="K31" s="2">
        <v>2</v>
      </c>
      <c r="L31" s="2">
        <v>1</v>
      </c>
      <c r="M31" s="4">
        <v>986</v>
      </c>
      <c r="N31" s="4">
        <v>55</v>
      </c>
      <c r="O31" s="4">
        <v>660</v>
      </c>
      <c r="P31" s="3">
        <v>1041</v>
      </c>
      <c r="Q31" s="2" t="s">
        <v>61</v>
      </c>
      <c r="R31" s="2" t="s">
        <v>64</v>
      </c>
      <c r="S31" s="2" t="s">
        <v>61</v>
      </c>
      <c r="T31" s="2">
        <v>1980</v>
      </c>
      <c r="U31" s="2" t="s">
        <v>90</v>
      </c>
      <c r="V31" s="2" t="s">
        <v>129</v>
      </c>
    </row>
    <row r="32" spans="1:22">
      <c r="A32" s="1">
        <f>HYPERLINK("https://www.quintoandar.com.br/imovel/892923855/comprar/apartamento-2-quartos-maracana-rio-de-janeiro","Apartamento à venda em Maracanã de 89 m².")</f>
        <v>0</v>
      </c>
      <c r="B32" s="2" t="s">
        <v>25</v>
      </c>
      <c r="C32" s="2" t="s">
        <v>40</v>
      </c>
      <c r="D32" s="2" t="s">
        <v>51</v>
      </c>
      <c r="E32" s="2" t="s">
        <v>59</v>
      </c>
      <c r="F32" s="2" t="s">
        <v>60</v>
      </c>
      <c r="G32" s="3">
        <v>310000</v>
      </c>
      <c r="H32" s="2">
        <v>89</v>
      </c>
      <c r="I32" s="2">
        <v>2</v>
      </c>
      <c r="J32" s="2">
        <v>1</v>
      </c>
      <c r="K32" s="2">
        <v>2</v>
      </c>
      <c r="L32" s="2">
        <v>0</v>
      </c>
      <c r="M32" s="4">
        <v>884</v>
      </c>
      <c r="N32" s="4">
        <v>65</v>
      </c>
      <c r="O32" s="4">
        <v>780</v>
      </c>
      <c r="P32" s="3">
        <v>949</v>
      </c>
      <c r="Q32" s="2" t="s">
        <v>61</v>
      </c>
      <c r="R32" s="2" t="s">
        <v>64</v>
      </c>
      <c r="S32" s="2" t="s">
        <v>62</v>
      </c>
      <c r="U32" s="2" t="s">
        <v>91</v>
      </c>
      <c r="V32" s="2" t="s">
        <v>16</v>
      </c>
    </row>
    <row r="33" spans="1:22">
      <c r="A33" s="1">
        <f>HYPERLINK("https://www.quintoandar.com.br/imovel/893232067/comprar/apartamento-2-quartos-maracana-rio-de-janeiro","Compre apartamento de 2 quartos, 1 suíte. Excelente para comprar ou investir.")</f>
        <v>0</v>
      </c>
      <c r="B33" s="2" t="s">
        <v>26</v>
      </c>
      <c r="C33" s="2" t="s">
        <v>40</v>
      </c>
      <c r="D33" s="2" t="s">
        <v>41</v>
      </c>
      <c r="E33" s="2" t="s">
        <v>59</v>
      </c>
      <c r="F33" s="2" t="s">
        <v>60</v>
      </c>
      <c r="G33" s="3">
        <v>269000</v>
      </c>
      <c r="H33" s="2">
        <v>78</v>
      </c>
      <c r="I33" s="2">
        <v>2</v>
      </c>
      <c r="J33" s="2">
        <v>1</v>
      </c>
      <c r="K33" s="2">
        <v>1</v>
      </c>
      <c r="L33" s="2">
        <v>2</v>
      </c>
      <c r="M33" s="4">
        <v>692</v>
      </c>
      <c r="N33" s="4">
        <v>0</v>
      </c>
      <c r="O33" s="4">
        <v>0</v>
      </c>
      <c r="P33" s="3">
        <v>692</v>
      </c>
      <c r="Q33" s="2" t="s">
        <v>61</v>
      </c>
      <c r="R33" s="2" t="s">
        <v>66</v>
      </c>
      <c r="S33" s="2" t="s">
        <v>62</v>
      </c>
      <c r="U33" s="2" t="s">
        <v>92</v>
      </c>
      <c r="V33" s="2" t="s">
        <v>117</v>
      </c>
    </row>
    <row r="34" spans="1:22">
      <c r="A34" s="1">
        <f>HYPERLINK("https://www.quintoandar.com.br/imovel/894158484/comprar/apartamento-3-quartos-maracana-rio-de-janeiro","Apartamento de 3 quartos à venda. Ótima oportunidade para comprar seu novo lar.")</f>
        <v>0</v>
      </c>
      <c r="B34" s="2" t="s">
        <v>24</v>
      </c>
      <c r="C34" s="2" t="s">
        <v>40</v>
      </c>
      <c r="D34" s="2" t="s">
        <v>41</v>
      </c>
      <c r="E34" s="2" t="s">
        <v>59</v>
      </c>
      <c r="F34" s="2" t="s">
        <v>60</v>
      </c>
      <c r="G34" s="3">
        <v>300000</v>
      </c>
      <c r="H34" s="2">
        <v>79</v>
      </c>
      <c r="I34" s="2">
        <v>3</v>
      </c>
      <c r="J34" s="2">
        <v>1</v>
      </c>
      <c r="K34" s="2">
        <v>2</v>
      </c>
      <c r="L34" s="2">
        <v>1</v>
      </c>
      <c r="M34" s="4">
        <v>750</v>
      </c>
      <c r="N34" s="4">
        <v>7</v>
      </c>
      <c r="O34" s="4">
        <v>84</v>
      </c>
      <c r="P34" s="3">
        <v>757</v>
      </c>
      <c r="Q34" s="2" t="s">
        <v>61</v>
      </c>
      <c r="R34" s="2" t="s">
        <v>65</v>
      </c>
      <c r="S34" s="2" t="s">
        <v>62</v>
      </c>
      <c r="T34" s="2">
        <v>1973</v>
      </c>
      <c r="V34" s="2" t="s">
        <v>130</v>
      </c>
    </row>
    <row r="35" spans="1:22">
      <c r="A35" s="1">
        <f>HYPERLINK("https://www.quintoandar.com.br/imovel/895125459/comprar/apartamento-2-quartos-maracana-rio-de-janeiro","Apartamento com 2 quartos no Maracanã, ideal para comprar. Não perca essa oportunidade única.")</f>
        <v>0</v>
      </c>
      <c r="B35" s="2" t="s">
        <v>26</v>
      </c>
      <c r="C35" s="2" t="s">
        <v>40</v>
      </c>
      <c r="D35" s="2" t="s">
        <v>52</v>
      </c>
      <c r="E35" s="2" t="s">
        <v>59</v>
      </c>
      <c r="F35" s="2" t="s">
        <v>60</v>
      </c>
      <c r="G35" s="3">
        <v>300000</v>
      </c>
      <c r="H35" s="2">
        <v>74</v>
      </c>
      <c r="I35" s="2">
        <v>2</v>
      </c>
      <c r="J35" s="2">
        <v>0</v>
      </c>
      <c r="K35" s="2">
        <v>1</v>
      </c>
      <c r="L35" s="2">
        <v>0</v>
      </c>
      <c r="M35" s="4">
        <v>700</v>
      </c>
      <c r="N35" s="4">
        <v>77</v>
      </c>
      <c r="O35" s="4">
        <v>924</v>
      </c>
      <c r="P35" s="3">
        <v>777</v>
      </c>
      <c r="Q35" s="2" t="s">
        <v>61</v>
      </c>
      <c r="R35" s="2" t="s">
        <v>64</v>
      </c>
      <c r="S35" s="2" t="s">
        <v>62</v>
      </c>
      <c r="T35" s="2">
        <v>1980</v>
      </c>
      <c r="U35" s="2" t="s">
        <v>93</v>
      </c>
      <c r="V35" s="2" t="s">
        <v>131</v>
      </c>
    </row>
    <row r="36" spans="1:22">
      <c r="A36" s="1">
        <f>HYPERLINK("https://www.quintoandar.com.br/imovel/895094269/comprar/apartamento-2-quartos-maracana-rio-de-janeiro","Apartamento com 2 quartos no Maracanã, ideal para comprar. Excelente opção para quem busca conforto e localização.")</f>
        <v>0</v>
      </c>
      <c r="B36" s="2" t="s">
        <v>29</v>
      </c>
      <c r="C36" s="2" t="s">
        <v>40</v>
      </c>
      <c r="D36" s="2" t="s">
        <v>48</v>
      </c>
      <c r="E36" s="2" t="s">
        <v>59</v>
      </c>
      <c r="F36" s="2" t="s">
        <v>60</v>
      </c>
      <c r="G36" s="3">
        <v>350000</v>
      </c>
      <c r="H36" s="2">
        <v>58</v>
      </c>
      <c r="I36" s="2">
        <v>2</v>
      </c>
      <c r="J36" s="2">
        <v>0</v>
      </c>
      <c r="K36" s="2">
        <v>1</v>
      </c>
      <c r="L36" s="2">
        <v>1</v>
      </c>
      <c r="M36" s="4">
        <v>890</v>
      </c>
      <c r="N36" s="4">
        <v>0</v>
      </c>
      <c r="O36" s="4">
        <v>0</v>
      </c>
      <c r="P36" s="3">
        <v>890</v>
      </c>
      <c r="Q36" s="2" t="s">
        <v>61</v>
      </c>
      <c r="R36" s="2" t="s">
        <v>64</v>
      </c>
      <c r="S36" s="2" t="s">
        <v>62</v>
      </c>
      <c r="T36" s="2">
        <v>2000</v>
      </c>
      <c r="U36" s="2" t="s">
        <v>94</v>
      </c>
      <c r="V36" s="2" t="s">
        <v>132</v>
      </c>
    </row>
    <row r="37" spans="1:22">
      <c r="A37" s="1">
        <f>HYPERLINK("https://www.quintoandar.com.br/imovel/894888653/comprar/apartamento-1-quarto-maracana-rio-de-janeiro","Venda de apartamento, de 40 m² com 1 quarto e 1 banheiro em Maracanã.")</f>
        <v>0</v>
      </c>
      <c r="B37" s="2" t="s">
        <v>36</v>
      </c>
      <c r="C37" s="2" t="s">
        <v>40</v>
      </c>
      <c r="D37" s="2" t="s">
        <v>53</v>
      </c>
      <c r="E37" s="2" t="s">
        <v>59</v>
      </c>
      <c r="F37" s="2" t="s">
        <v>60</v>
      </c>
      <c r="G37" s="3">
        <v>215000</v>
      </c>
      <c r="H37" s="2">
        <v>40</v>
      </c>
      <c r="I37" s="2">
        <v>1</v>
      </c>
      <c r="J37" s="2">
        <v>0</v>
      </c>
      <c r="K37" s="2">
        <v>1</v>
      </c>
      <c r="L37" s="2">
        <v>0</v>
      </c>
      <c r="M37" s="4">
        <v>450</v>
      </c>
      <c r="N37" s="4">
        <v>70</v>
      </c>
      <c r="O37" s="4">
        <v>840</v>
      </c>
      <c r="P37" s="3">
        <v>520</v>
      </c>
      <c r="Q37" s="2" t="s">
        <v>61</v>
      </c>
      <c r="R37" s="2" t="s">
        <v>64</v>
      </c>
      <c r="S37" s="2" t="s">
        <v>62</v>
      </c>
      <c r="U37" s="2" t="s">
        <v>88</v>
      </c>
      <c r="V37" s="2" t="s">
        <v>133</v>
      </c>
    </row>
    <row r="38" spans="1:22">
      <c r="A38" s="1">
        <f>HYPERLINK("https://www.quintoandar.com.br/imovel/893465119/comprar/apartamento-1-quarto-maracana-rio-de-janeiro","Apartamento com varanda e 1 quarto.")</f>
        <v>0</v>
      </c>
      <c r="B38" s="2" t="s">
        <v>31</v>
      </c>
      <c r="C38" s="2" t="s">
        <v>40</v>
      </c>
      <c r="D38" s="2" t="s">
        <v>54</v>
      </c>
      <c r="E38" s="2" t="s">
        <v>59</v>
      </c>
      <c r="F38" s="2" t="s">
        <v>60</v>
      </c>
      <c r="G38" s="3">
        <v>350000</v>
      </c>
      <c r="H38" s="2">
        <v>74</v>
      </c>
      <c r="I38" s="2">
        <v>1</v>
      </c>
      <c r="J38" s="2">
        <v>0</v>
      </c>
      <c r="K38" s="2">
        <v>1</v>
      </c>
      <c r="L38" s="2">
        <v>1</v>
      </c>
      <c r="M38" s="4">
        <v>902</v>
      </c>
      <c r="N38" s="4">
        <v>103</v>
      </c>
      <c r="O38" s="4">
        <v>1236</v>
      </c>
      <c r="P38" s="3">
        <v>1005</v>
      </c>
      <c r="Q38" s="2" t="s">
        <v>61</v>
      </c>
      <c r="R38" s="2" t="s">
        <v>64</v>
      </c>
      <c r="S38" s="2" t="s">
        <v>62</v>
      </c>
      <c r="U38" s="2" t="s">
        <v>95</v>
      </c>
      <c r="V38" s="2" t="s">
        <v>120</v>
      </c>
    </row>
    <row r="39" spans="1:22">
      <c r="A39" s="1">
        <f>HYPERLINK("https://www.quintoandar.com.br/imovel/894676761/comprar/apartamento-1-quarto-maracana-rio-de-janeiro","Venda de apartamento, de 60 m² com 1 quarto e 1 banheiro em Maracanã.")</f>
        <v>0</v>
      </c>
      <c r="B39" s="2" t="s">
        <v>24</v>
      </c>
      <c r="C39" s="2" t="s">
        <v>40</v>
      </c>
      <c r="D39" s="2" t="s">
        <v>54</v>
      </c>
      <c r="E39" s="2" t="s">
        <v>59</v>
      </c>
      <c r="F39" s="2" t="s">
        <v>60</v>
      </c>
      <c r="G39" s="3">
        <v>270000</v>
      </c>
      <c r="H39" s="2">
        <v>60</v>
      </c>
      <c r="I39" s="2">
        <v>1</v>
      </c>
      <c r="J39" s="2">
        <v>1</v>
      </c>
      <c r="K39" s="2">
        <v>1</v>
      </c>
      <c r="L39" s="2">
        <v>0</v>
      </c>
      <c r="M39" s="4">
        <v>370</v>
      </c>
      <c r="N39" s="4">
        <v>59</v>
      </c>
      <c r="O39" s="4">
        <v>708</v>
      </c>
      <c r="P39" s="3">
        <v>429</v>
      </c>
      <c r="Q39" s="2" t="s">
        <v>61</v>
      </c>
      <c r="R39" s="2" t="s">
        <v>64</v>
      </c>
      <c r="S39" s="2" t="s">
        <v>62</v>
      </c>
      <c r="U39" s="2" t="s">
        <v>96</v>
      </c>
      <c r="V39" s="2" t="s">
        <v>16</v>
      </c>
    </row>
    <row r="40" spans="1:22">
      <c r="A40" s="1">
        <f>HYPERLINK("https://www.quintoandar.com.br/imovel/893685681/comprar/apartamento-1-quarto-maracana-rio-de-janeiro","Apartamento à venda com 1 quarto. Uma ótima oportunidade para adquirir seu imóvel.")</f>
        <v>0</v>
      </c>
      <c r="B40" s="2" t="s">
        <v>37</v>
      </c>
      <c r="C40" s="2" t="s">
        <v>40</v>
      </c>
      <c r="D40" s="2" t="s">
        <v>48</v>
      </c>
      <c r="E40" s="2" t="s">
        <v>59</v>
      </c>
      <c r="F40" s="2" t="s">
        <v>60</v>
      </c>
      <c r="G40" s="3">
        <v>270000</v>
      </c>
      <c r="H40" s="2">
        <v>35</v>
      </c>
      <c r="I40" s="2">
        <v>1</v>
      </c>
      <c r="J40" s="2">
        <v>0</v>
      </c>
      <c r="K40" s="2">
        <v>1</v>
      </c>
      <c r="L40" s="2">
        <v>0</v>
      </c>
      <c r="M40" s="4">
        <v>720</v>
      </c>
      <c r="N40" s="4">
        <v>0</v>
      </c>
      <c r="O40" s="4">
        <v>0</v>
      </c>
      <c r="P40" s="3">
        <v>720</v>
      </c>
      <c r="Q40" s="2" t="s">
        <v>61</v>
      </c>
      <c r="R40" s="2" t="s">
        <v>64</v>
      </c>
      <c r="S40" s="2" t="s">
        <v>62</v>
      </c>
      <c r="U40" s="2" t="s">
        <v>97</v>
      </c>
      <c r="V40" s="2" t="s">
        <v>134</v>
      </c>
    </row>
    <row r="41" spans="1:22">
      <c r="A41" s="1">
        <f>HYPERLINK("https://www.quintoandar.com.br/imovel/893096704/comprar/apartamento-3-quartos-maracana-rio-de-janeiro","Apartamento para comprar com 3 quartos à venda no Maracanã. Ótima opção de compra!")</f>
        <v>0</v>
      </c>
      <c r="B41" s="2" t="s">
        <v>24</v>
      </c>
      <c r="C41" s="2" t="s">
        <v>40</v>
      </c>
      <c r="D41" s="2" t="s">
        <v>51</v>
      </c>
      <c r="E41" s="2" t="s">
        <v>59</v>
      </c>
      <c r="F41" s="2" t="s">
        <v>60</v>
      </c>
      <c r="G41" s="3">
        <v>350000</v>
      </c>
      <c r="H41" s="2">
        <v>100</v>
      </c>
      <c r="I41" s="2">
        <v>3</v>
      </c>
      <c r="J41" s="2">
        <v>0</v>
      </c>
      <c r="K41" s="2">
        <v>1</v>
      </c>
      <c r="L41" s="2">
        <v>0</v>
      </c>
      <c r="M41" s="4">
        <v>850</v>
      </c>
      <c r="N41" s="4">
        <v>68</v>
      </c>
      <c r="O41" s="4">
        <v>816</v>
      </c>
      <c r="P41" s="3">
        <v>918</v>
      </c>
      <c r="Q41" s="2" t="s">
        <v>61</v>
      </c>
      <c r="R41" s="2" t="s">
        <v>63</v>
      </c>
      <c r="S41" s="2" t="s">
        <v>62</v>
      </c>
      <c r="U41" s="2" t="s">
        <v>98</v>
      </c>
      <c r="V41" s="2" t="s">
        <v>16</v>
      </c>
    </row>
    <row r="42" spans="1:22">
      <c r="A42" s="1">
        <f>HYPERLINK("https://www.quintoandar.com.br/imovel/894769282/comprar/apartamento-1-quarto-maracana-rio-de-janeiro","Venda de apartamento, de 60 m² com 1 quarto, 1 banheiro e 1 vaga na garagem em Maracanã.")</f>
        <v>0</v>
      </c>
      <c r="B42" s="2" t="s">
        <v>35</v>
      </c>
      <c r="C42" s="2" t="s">
        <v>40</v>
      </c>
      <c r="D42" s="2" t="s">
        <v>41</v>
      </c>
      <c r="E42" s="2" t="s">
        <v>59</v>
      </c>
      <c r="F42" s="2" t="s">
        <v>60</v>
      </c>
      <c r="G42" s="3">
        <v>315000</v>
      </c>
      <c r="H42" s="2">
        <v>60</v>
      </c>
      <c r="I42" s="2">
        <v>1</v>
      </c>
      <c r="J42" s="2">
        <v>0</v>
      </c>
      <c r="K42" s="2">
        <v>1</v>
      </c>
      <c r="L42" s="2">
        <v>1</v>
      </c>
      <c r="M42" s="4">
        <v>855</v>
      </c>
      <c r="N42" s="4">
        <v>100</v>
      </c>
      <c r="O42" s="4">
        <v>1200</v>
      </c>
      <c r="P42" s="3">
        <v>955</v>
      </c>
      <c r="Q42" s="2" t="s">
        <v>61</v>
      </c>
      <c r="R42" s="2" t="s">
        <v>65</v>
      </c>
      <c r="S42" s="2" t="s">
        <v>62</v>
      </c>
      <c r="T42" s="2">
        <v>1980</v>
      </c>
      <c r="U42" s="2" t="s">
        <v>99</v>
      </c>
      <c r="V42" s="2" t="s">
        <v>114</v>
      </c>
    </row>
    <row r="43" spans="1:22">
      <c r="A43" s="1">
        <f>HYPERLINK("https://www.quintoandar.com.br/imovel/894974676/comprar/apartamento-2-quartos-maracana-rio-de-janeiro","Venda de apartamento no Maracanã, 2 quartos, 1 suíte, mobiliado.")</f>
        <v>0</v>
      </c>
      <c r="B43" s="2" t="s">
        <v>28</v>
      </c>
      <c r="C43" s="2" t="s">
        <v>40</v>
      </c>
      <c r="D43" s="2" t="s">
        <v>43</v>
      </c>
      <c r="E43" s="2" t="s">
        <v>59</v>
      </c>
      <c r="F43" s="2" t="s">
        <v>60</v>
      </c>
      <c r="G43" s="3">
        <v>321000</v>
      </c>
      <c r="H43" s="2">
        <v>77</v>
      </c>
      <c r="I43" s="2">
        <v>2</v>
      </c>
      <c r="J43" s="2">
        <v>1</v>
      </c>
      <c r="K43" s="2">
        <v>2</v>
      </c>
      <c r="L43" s="2">
        <v>1</v>
      </c>
      <c r="M43" s="4">
        <v>940</v>
      </c>
      <c r="N43" s="4">
        <v>71</v>
      </c>
      <c r="O43" s="4">
        <v>852</v>
      </c>
      <c r="P43" s="3">
        <v>1011</v>
      </c>
      <c r="Q43" s="2" t="s">
        <v>61</v>
      </c>
      <c r="R43" s="2" t="s">
        <v>63</v>
      </c>
      <c r="S43" s="2" t="s">
        <v>61</v>
      </c>
    </row>
    <row r="44" spans="1:22">
      <c r="A44" s="1">
        <f>HYPERLINK("https://www.quintoandar.com.br/imovel/895101742/comprar/apartamento-1-quarto-maracana-rio-de-janeiro","Comprar apartamento no Maracanã com 1 quarto. Excelente oportunidade em localização privilegiada.")</f>
        <v>0</v>
      </c>
      <c r="B44" s="2" t="s">
        <v>29</v>
      </c>
      <c r="C44" s="2" t="s">
        <v>40</v>
      </c>
      <c r="D44" s="2" t="s">
        <v>55</v>
      </c>
      <c r="E44" s="2" t="s">
        <v>59</v>
      </c>
      <c r="F44" s="2" t="s">
        <v>60</v>
      </c>
      <c r="G44" s="3">
        <v>299000</v>
      </c>
      <c r="H44" s="2">
        <v>45</v>
      </c>
      <c r="I44" s="2">
        <v>1</v>
      </c>
      <c r="J44" s="2">
        <v>0</v>
      </c>
      <c r="K44" s="2">
        <v>1</v>
      </c>
      <c r="L44" s="2">
        <v>0</v>
      </c>
      <c r="M44" s="4">
        <v>650</v>
      </c>
      <c r="N44" s="4">
        <v>0</v>
      </c>
      <c r="O44" s="4">
        <v>0</v>
      </c>
      <c r="P44" s="3">
        <v>650</v>
      </c>
      <c r="Q44" s="2" t="s">
        <v>61</v>
      </c>
      <c r="R44" s="2" t="s">
        <v>64</v>
      </c>
      <c r="S44" s="2" t="s">
        <v>62</v>
      </c>
      <c r="U44" s="2" t="s">
        <v>100</v>
      </c>
      <c r="V44" s="2" t="s">
        <v>135</v>
      </c>
    </row>
    <row r="45" spans="1:22">
      <c r="A45" s="1">
        <f>HYPERLINK("https://www.quintoandar.com.br/imovel/894107575/comprar/apartamento-2-quartos-maracana-rio-de-janeiro","Apartamento à venda em Maracanã de 62 m².")</f>
        <v>0</v>
      </c>
      <c r="B45" s="2" t="s">
        <v>38</v>
      </c>
      <c r="C45" s="2" t="s">
        <v>40</v>
      </c>
      <c r="D45" s="2" t="s">
        <v>46</v>
      </c>
      <c r="E45" s="2" t="s">
        <v>59</v>
      </c>
      <c r="F45" s="2" t="s">
        <v>60</v>
      </c>
      <c r="G45" s="3">
        <v>348000</v>
      </c>
      <c r="H45" s="2">
        <v>62</v>
      </c>
      <c r="I45" s="2">
        <v>2</v>
      </c>
      <c r="J45" s="2">
        <v>0</v>
      </c>
      <c r="K45" s="2">
        <v>1</v>
      </c>
      <c r="L45" s="2">
        <v>0</v>
      </c>
      <c r="M45" s="4">
        <v>971</v>
      </c>
      <c r="N45" s="4">
        <v>84</v>
      </c>
      <c r="O45" s="4">
        <v>1008</v>
      </c>
      <c r="P45" s="3">
        <v>1055</v>
      </c>
      <c r="Q45" s="2" t="s">
        <v>61</v>
      </c>
      <c r="R45" s="2" t="s">
        <v>63</v>
      </c>
      <c r="S45" s="2" t="s">
        <v>62</v>
      </c>
      <c r="U45" s="2" t="s">
        <v>101</v>
      </c>
      <c r="V45" s="2" t="s">
        <v>123</v>
      </c>
    </row>
    <row r="46" spans="1:22">
      <c r="A46" s="1">
        <f>HYPERLINK("https://www.quintoandar.com.br/imovel/895075904/comprar/apartamento-1-quarto-maracana-rio-de-janeiro","Apartamento de 1 quarto à venda, ideal para quem busca praticidades urbanas.")</f>
        <v>0</v>
      </c>
      <c r="B46" s="2" t="s">
        <v>29</v>
      </c>
      <c r="C46" s="2" t="s">
        <v>40</v>
      </c>
      <c r="D46" s="2" t="s">
        <v>49</v>
      </c>
      <c r="E46" s="2" t="s">
        <v>59</v>
      </c>
      <c r="F46" s="2" t="s">
        <v>60</v>
      </c>
      <c r="G46" s="3">
        <v>295000</v>
      </c>
      <c r="H46" s="2">
        <v>42</v>
      </c>
      <c r="I46" s="2">
        <v>1</v>
      </c>
      <c r="J46" s="2">
        <v>0</v>
      </c>
      <c r="K46" s="2">
        <v>1</v>
      </c>
      <c r="L46" s="2">
        <v>0</v>
      </c>
      <c r="M46" s="4">
        <v>632</v>
      </c>
      <c r="N46" s="4">
        <v>0</v>
      </c>
      <c r="O46" s="4">
        <v>0</v>
      </c>
      <c r="P46" s="3">
        <v>632</v>
      </c>
      <c r="Q46" s="2" t="s">
        <v>62</v>
      </c>
      <c r="R46" s="2" t="s">
        <v>64</v>
      </c>
      <c r="S46" s="2" t="s">
        <v>62</v>
      </c>
      <c r="T46" s="2">
        <v>1961</v>
      </c>
      <c r="U46" s="2" t="s">
        <v>102</v>
      </c>
      <c r="V46" s="2" t="s">
        <v>136</v>
      </c>
    </row>
    <row r="47" spans="1:22">
      <c r="A47" s="1">
        <f>HYPERLINK("https://www.quintoandar.com.br/imovel/893493566/comprar/apartamento-3-quartos-maracana-rio-de-janeiro","Apartamento à venda em Maracanã de 80 m² com churrasqueira.")</f>
        <v>0</v>
      </c>
      <c r="B47" s="2" t="s">
        <v>29</v>
      </c>
      <c r="C47" s="2" t="s">
        <v>40</v>
      </c>
      <c r="D47" s="2" t="s">
        <v>56</v>
      </c>
      <c r="E47" s="2" t="s">
        <v>59</v>
      </c>
      <c r="F47" s="2" t="s">
        <v>60</v>
      </c>
      <c r="G47" s="3">
        <v>285000</v>
      </c>
      <c r="H47" s="2">
        <v>80</v>
      </c>
      <c r="I47" s="2">
        <v>3</v>
      </c>
      <c r="J47" s="2">
        <v>0</v>
      </c>
      <c r="K47" s="2">
        <v>1</v>
      </c>
      <c r="L47" s="2">
        <v>0</v>
      </c>
      <c r="M47" s="4">
        <v>680</v>
      </c>
      <c r="N47" s="4">
        <v>78</v>
      </c>
      <c r="O47" s="4">
        <v>936</v>
      </c>
      <c r="P47" s="3">
        <v>758</v>
      </c>
      <c r="Q47" s="2" t="s">
        <v>61</v>
      </c>
      <c r="R47" s="2" t="s">
        <v>64</v>
      </c>
      <c r="S47" s="2" t="s">
        <v>62</v>
      </c>
      <c r="U47" s="2" t="s">
        <v>103</v>
      </c>
      <c r="V47" s="2" t="s">
        <v>16</v>
      </c>
    </row>
    <row r="48" spans="1:22">
      <c r="A48" s="1">
        <f>HYPERLINK("https://www.quintoandar.com.br/imovel/895153604/comprar/apartamento-1-quarto-maracana-rio-de-janeiro","Apartamento mobiliado com 1 quarto e varanda para comprar.")</f>
        <v>0</v>
      </c>
      <c r="B48" s="2" t="s">
        <v>26</v>
      </c>
      <c r="C48" s="2" t="s">
        <v>40</v>
      </c>
      <c r="D48" s="2" t="s">
        <v>55</v>
      </c>
      <c r="E48" s="2" t="s">
        <v>59</v>
      </c>
      <c r="F48" s="2" t="s">
        <v>60</v>
      </c>
      <c r="G48" s="3">
        <v>340000</v>
      </c>
      <c r="H48" s="2">
        <v>48</v>
      </c>
      <c r="I48" s="2">
        <v>1</v>
      </c>
      <c r="J48" s="2">
        <v>0</v>
      </c>
      <c r="K48" s="2">
        <v>2</v>
      </c>
      <c r="L48" s="2">
        <v>0</v>
      </c>
      <c r="M48" s="4">
        <v>567</v>
      </c>
      <c r="N48" s="4">
        <v>69</v>
      </c>
      <c r="O48" s="4">
        <v>828</v>
      </c>
      <c r="P48" s="3">
        <v>636</v>
      </c>
      <c r="Q48" s="2" t="s">
        <v>61</v>
      </c>
      <c r="R48" s="2" t="s">
        <v>64</v>
      </c>
      <c r="S48" s="2" t="s">
        <v>61</v>
      </c>
      <c r="T48" s="2">
        <v>1964</v>
      </c>
      <c r="U48" s="2" t="s">
        <v>104</v>
      </c>
    </row>
    <row r="49" spans="1:22">
      <c r="A49" s="1">
        <f>HYPERLINK("https://www.quintoandar.com.br/imovel/894974130/comprar/apartamento-2-quartos-maracana-rio-de-janeiro","Compra apartamento mobiliado com 2 quartos.")</f>
        <v>0</v>
      </c>
      <c r="B49" s="2" t="s">
        <v>37</v>
      </c>
      <c r="C49" s="2" t="s">
        <v>40</v>
      </c>
      <c r="D49" s="2" t="s">
        <v>55</v>
      </c>
      <c r="E49" s="2" t="s">
        <v>59</v>
      </c>
      <c r="F49" s="2" t="s">
        <v>60</v>
      </c>
      <c r="G49" s="3">
        <v>320000</v>
      </c>
      <c r="H49" s="2">
        <v>81</v>
      </c>
      <c r="I49" s="2">
        <v>2</v>
      </c>
      <c r="J49" s="2">
        <v>0</v>
      </c>
      <c r="K49" s="2">
        <v>2</v>
      </c>
      <c r="L49" s="2">
        <v>0</v>
      </c>
      <c r="M49" s="4">
        <v>950</v>
      </c>
      <c r="N49" s="4">
        <v>92</v>
      </c>
      <c r="O49" s="4">
        <v>1104</v>
      </c>
      <c r="P49" s="3">
        <v>1042</v>
      </c>
      <c r="Q49" s="2" t="s">
        <v>61</v>
      </c>
      <c r="R49" s="2" t="s">
        <v>66</v>
      </c>
      <c r="S49" s="2" t="s">
        <v>61</v>
      </c>
      <c r="U49" s="2" t="s">
        <v>105</v>
      </c>
    </row>
    <row r="50" spans="1:22">
      <c r="A50" s="1">
        <f>HYPERLINK("https://www.quintoandar.com.br/imovel/895118804/comprar/apartamento-4-quartos-maracana-rio-de-janeiro","Venda de apartamento mobiliado com 4 quartos no Maracanã.")</f>
        <v>0</v>
      </c>
      <c r="B50" s="2" t="s">
        <v>39</v>
      </c>
      <c r="C50" s="2" t="s">
        <v>40</v>
      </c>
      <c r="D50" s="2" t="s">
        <v>41</v>
      </c>
      <c r="E50" s="2" t="s">
        <v>59</v>
      </c>
      <c r="F50" s="2" t="s">
        <v>60</v>
      </c>
      <c r="G50" s="3">
        <v>320000</v>
      </c>
      <c r="H50" s="2">
        <v>72</v>
      </c>
      <c r="I50" s="2">
        <v>4</v>
      </c>
      <c r="J50" s="2">
        <v>0</v>
      </c>
      <c r="K50" s="2">
        <v>2</v>
      </c>
      <c r="L50" s="2">
        <v>1</v>
      </c>
      <c r="M50" s="4">
        <v>840</v>
      </c>
      <c r="N50" s="4">
        <v>69</v>
      </c>
      <c r="O50" s="4">
        <v>828</v>
      </c>
      <c r="P50" s="3">
        <v>909</v>
      </c>
      <c r="Q50" s="2" t="s">
        <v>61</v>
      </c>
      <c r="R50" s="2" t="s">
        <v>63</v>
      </c>
      <c r="S50" s="2" t="s">
        <v>61</v>
      </c>
      <c r="U50" s="2" t="s">
        <v>92</v>
      </c>
    </row>
    <row r="51" spans="1:22">
      <c r="A51" s="1">
        <f>HYPERLINK("https://www.quintoandar.com.br/imovel/893307951/comprar/apartamento-4-quartos-maracana-rio-de-janeiro","Venda de apartamento no Maracanã com 4 quartos. Excelente para comprar agora!")</f>
        <v>0</v>
      </c>
      <c r="B51" s="2" t="s">
        <v>24</v>
      </c>
      <c r="C51" s="2" t="s">
        <v>40</v>
      </c>
      <c r="D51" s="2" t="s">
        <v>41</v>
      </c>
      <c r="E51" s="2" t="s">
        <v>59</v>
      </c>
      <c r="F51" s="2" t="s">
        <v>60</v>
      </c>
      <c r="G51" s="3">
        <v>295000</v>
      </c>
      <c r="H51" s="2">
        <v>80</v>
      </c>
      <c r="I51" s="2">
        <v>4</v>
      </c>
      <c r="J51" s="2">
        <v>0</v>
      </c>
      <c r="K51" s="2">
        <v>2</v>
      </c>
      <c r="L51" s="2">
        <v>1</v>
      </c>
      <c r="M51" s="4">
        <v>600</v>
      </c>
      <c r="N51" s="4">
        <v>80</v>
      </c>
      <c r="O51" s="4">
        <v>960</v>
      </c>
      <c r="P51" s="3">
        <v>680</v>
      </c>
      <c r="Q51" s="2" t="s">
        <v>61</v>
      </c>
      <c r="R51" s="2" t="s">
        <v>64</v>
      </c>
      <c r="S51" s="2" t="s">
        <v>62</v>
      </c>
      <c r="U51" s="2" t="s">
        <v>106</v>
      </c>
      <c r="V51" s="2" t="s">
        <v>126</v>
      </c>
    </row>
    <row r="52" spans="1:22">
      <c r="A52" s="1">
        <f>HYPERLINK("https://www.quintoandar.com.br/imovel/893398315/comprar/apartamento-2-quartos-maracana-rio-de-janeiro","Apartamento com 2 quartos disponível para comprar.")</f>
        <v>0</v>
      </c>
      <c r="B52" s="2" t="s">
        <v>24</v>
      </c>
      <c r="C52" s="2" t="s">
        <v>40</v>
      </c>
      <c r="D52" s="2" t="s">
        <v>41</v>
      </c>
      <c r="E52" s="2" t="s">
        <v>59</v>
      </c>
      <c r="F52" s="2" t="s">
        <v>60</v>
      </c>
      <c r="G52" s="3">
        <v>260000</v>
      </c>
      <c r="H52" s="2">
        <v>72</v>
      </c>
      <c r="I52" s="2">
        <v>2</v>
      </c>
      <c r="J52" s="2">
        <v>0</v>
      </c>
      <c r="K52" s="2">
        <v>1</v>
      </c>
      <c r="L52" s="2">
        <v>1</v>
      </c>
      <c r="M52" s="4">
        <v>854</v>
      </c>
      <c r="N52" s="4">
        <v>43</v>
      </c>
      <c r="O52" s="4">
        <v>516</v>
      </c>
      <c r="P52" s="3">
        <v>897</v>
      </c>
      <c r="Q52" s="2" t="s">
        <v>61</v>
      </c>
      <c r="R52" s="2" t="s">
        <v>66</v>
      </c>
      <c r="S52" s="2" t="s">
        <v>62</v>
      </c>
      <c r="U52" s="2" t="s">
        <v>89</v>
      </c>
      <c r="V52" s="2" t="s">
        <v>122</v>
      </c>
    </row>
    <row r="53" spans="1:22">
      <c r="A53" s="1">
        <f>HYPERLINK("https://www.quintoandar.com.br/imovel/893565731/comprar/apartamento-2-quartos-maracana-rio-de-janeiro","Apartamento à venda no Maracanã com 2 quartos. Ideal para quem busca praticar comodidades urbanas.")</f>
        <v>0</v>
      </c>
      <c r="B53" s="2" t="s">
        <v>24</v>
      </c>
      <c r="C53" s="2" t="s">
        <v>40</v>
      </c>
      <c r="D53" s="2" t="s">
        <v>50</v>
      </c>
      <c r="E53" s="2" t="s">
        <v>59</v>
      </c>
      <c r="F53" s="2" t="s">
        <v>60</v>
      </c>
      <c r="G53" s="3">
        <v>320000</v>
      </c>
      <c r="H53" s="2">
        <v>70</v>
      </c>
      <c r="I53" s="2">
        <v>2</v>
      </c>
      <c r="J53" s="2">
        <v>1</v>
      </c>
      <c r="K53" s="2">
        <v>2</v>
      </c>
      <c r="L53" s="2">
        <v>0</v>
      </c>
      <c r="M53" s="4">
        <v>646</v>
      </c>
      <c r="N53" s="4">
        <v>72</v>
      </c>
      <c r="O53" s="4">
        <v>864</v>
      </c>
      <c r="P53" s="3">
        <v>718</v>
      </c>
      <c r="Q53" s="2" t="s">
        <v>61</v>
      </c>
      <c r="R53" s="2" t="s">
        <v>64</v>
      </c>
      <c r="S53" s="2" t="s">
        <v>62</v>
      </c>
      <c r="U53" s="2" t="s">
        <v>93</v>
      </c>
      <c r="V53" s="2" t="s">
        <v>16</v>
      </c>
    </row>
    <row r="54" spans="1:22">
      <c r="A54" s="1">
        <f>HYPERLINK("https://www.quintoandar.com.br/imovel/893746970/comprar/apartamento-1-quarto-maracana-rio-de-janeiro","Venda de apartamento, de 60 m² com 1 quarto e 1 banheiro em Maracanã.")</f>
        <v>0</v>
      </c>
      <c r="B54" s="2" t="s">
        <v>30</v>
      </c>
      <c r="C54" s="2" t="s">
        <v>40</v>
      </c>
      <c r="D54" s="2" t="s">
        <v>57</v>
      </c>
      <c r="E54" s="2" t="s">
        <v>59</v>
      </c>
      <c r="F54" s="2" t="s">
        <v>60</v>
      </c>
      <c r="G54" s="3">
        <v>290000</v>
      </c>
      <c r="H54" s="2">
        <v>60</v>
      </c>
      <c r="I54" s="2">
        <v>1</v>
      </c>
      <c r="J54" s="2">
        <v>0</v>
      </c>
      <c r="K54" s="2">
        <v>1</v>
      </c>
      <c r="L54" s="2">
        <v>0</v>
      </c>
      <c r="M54" s="4">
        <v>250</v>
      </c>
      <c r="N54" s="4">
        <v>0</v>
      </c>
      <c r="O54" s="4">
        <v>0</v>
      </c>
      <c r="P54" s="3">
        <v>250</v>
      </c>
      <c r="Q54" s="2" t="s">
        <v>61</v>
      </c>
      <c r="R54" s="2" t="s">
        <v>64</v>
      </c>
      <c r="S54" s="2" t="s">
        <v>62</v>
      </c>
      <c r="U54" s="2" t="s">
        <v>107</v>
      </c>
      <c r="V54" s="2" t="s">
        <v>137</v>
      </c>
    </row>
    <row r="55" spans="1:22">
      <c r="A55" s="1">
        <f>HYPERLINK("https://www.quintoandar.com.br/imovel/894606978/comprar/apartamento-2-quartos-maracana-rio-de-janeiro","Apartamento com 2 quartos disponível para comprar. Excelente oportunidade para adquirir seu imóvel.")</f>
        <v>0</v>
      </c>
      <c r="B55" s="2" t="s">
        <v>37</v>
      </c>
      <c r="C55" s="2" t="s">
        <v>40</v>
      </c>
      <c r="D55" s="2" t="s">
        <v>41</v>
      </c>
      <c r="E55" s="2" t="s">
        <v>59</v>
      </c>
      <c r="F55" s="2" t="s">
        <v>60</v>
      </c>
      <c r="G55" s="3">
        <v>280000</v>
      </c>
      <c r="H55" s="2">
        <v>50</v>
      </c>
      <c r="I55" s="2">
        <v>2</v>
      </c>
      <c r="J55" s="2">
        <v>0</v>
      </c>
      <c r="K55" s="2">
        <v>1</v>
      </c>
      <c r="L55" s="2">
        <v>1</v>
      </c>
      <c r="M55" s="4">
        <v>706</v>
      </c>
      <c r="N55" s="4">
        <v>0</v>
      </c>
      <c r="O55" s="4">
        <v>0</v>
      </c>
      <c r="P55" s="3">
        <v>706</v>
      </c>
      <c r="Q55" s="2" t="s">
        <v>61</v>
      </c>
      <c r="R55" s="2" t="s">
        <v>63</v>
      </c>
      <c r="S55" s="2" t="s">
        <v>62</v>
      </c>
      <c r="T55" s="2">
        <v>1975</v>
      </c>
      <c r="U55" s="2" t="s">
        <v>108</v>
      </c>
      <c r="V55" s="2" t="s">
        <v>127</v>
      </c>
    </row>
    <row r="56" spans="1:22">
      <c r="A56" s="1">
        <f>HYPERLINK("https://www.quintoandar.com.br/imovel/893435661/comprar/apartamento-1-quarto-maracana-rio-de-janeiro","Apartamento mobiliado com 1 quarto disponível para venda. Aproveite esta oportunidade única!")</f>
        <v>0</v>
      </c>
      <c r="B56" s="2" t="s">
        <v>24</v>
      </c>
      <c r="C56" s="2" t="s">
        <v>40</v>
      </c>
      <c r="D56" s="2" t="s">
        <v>50</v>
      </c>
      <c r="E56" s="2" t="s">
        <v>59</v>
      </c>
      <c r="F56" s="2" t="s">
        <v>60</v>
      </c>
      <c r="G56" s="3">
        <v>280000</v>
      </c>
      <c r="H56" s="2">
        <v>38</v>
      </c>
      <c r="I56" s="2">
        <v>1</v>
      </c>
      <c r="J56" s="2">
        <v>0</v>
      </c>
      <c r="K56" s="2">
        <v>1</v>
      </c>
      <c r="L56" s="2">
        <v>0</v>
      </c>
      <c r="M56" s="4">
        <v>773</v>
      </c>
      <c r="N56" s="4">
        <v>0</v>
      </c>
      <c r="O56" s="4">
        <v>0</v>
      </c>
      <c r="P56" s="3">
        <v>773</v>
      </c>
      <c r="Q56" s="2" t="s">
        <v>61</v>
      </c>
      <c r="R56" s="2" t="s">
        <v>63</v>
      </c>
      <c r="S56" s="2" t="s">
        <v>61</v>
      </c>
      <c r="T56" s="2">
        <v>1984</v>
      </c>
      <c r="U56" s="2" t="s">
        <v>109</v>
      </c>
      <c r="V56" s="2" t="s">
        <v>114</v>
      </c>
    </row>
    <row r="57" spans="1:22">
      <c r="A57" s="1">
        <f>HYPERLINK("https://www.quintoandar.com.br/imovel/893227930/comprar/apartamento-1-quarto-maracana-rio-de-janeiro","Apartamento para comprar no Maracanã, 1 quarto, aceita animais de estimação. Ótima oportunidade de compra.")</f>
        <v>0</v>
      </c>
      <c r="B57" s="2" t="s">
        <v>24</v>
      </c>
      <c r="C57" s="2" t="s">
        <v>40</v>
      </c>
      <c r="D57" s="2" t="s">
        <v>51</v>
      </c>
      <c r="E57" s="2" t="s">
        <v>59</v>
      </c>
      <c r="F57" s="2" t="s">
        <v>60</v>
      </c>
      <c r="G57" s="3">
        <v>350000</v>
      </c>
      <c r="H57" s="2">
        <v>50</v>
      </c>
      <c r="I57" s="2">
        <v>1</v>
      </c>
      <c r="J57" s="2">
        <v>1</v>
      </c>
      <c r="K57" s="2">
        <v>2</v>
      </c>
      <c r="L57" s="2">
        <v>0</v>
      </c>
      <c r="M57" s="4">
        <v>360</v>
      </c>
      <c r="N57" s="4">
        <v>0</v>
      </c>
      <c r="O57" s="4">
        <v>0</v>
      </c>
      <c r="P57" s="3">
        <v>360</v>
      </c>
      <c r="Q57" s="2" t="s">
        <v>61</v>
      </c>
      <c r="R57" s="2" t="s">
        <v>64</v>
      </c>
      <c r="S57" s="2" t="s">
        <v>62</v>
      </c>
      <c r="U57" s="2" t="s">
        <v>110</v>
      </c>
      <c r="V57" s="2" t="s">
        <v>16</v>
      </c>
    </row>
    <row r="58" spans="1:22">
      <c r="A58" s="1">
        <f>HYPERLINK("https://www.quintoandar.com.br/imovel/894758053/comprar/apartamento-3-quartos-maracana-rio-de-janeiro","Venda de apartamento mobiliado no Maracanã com 3 quartos.")</f>
        <v>0</v>
      </c>
      <c r="B58" s="2" t="s">
        <v>31</v>
      </c>
      <c r="C58" s="2" t="s">
        <v>40</v>
      </c>
      <c r="D58" s="2" t="s">
        <v>41</v>
      </c>
      <c r="E58" s="2" t="s">
        <v>59</v>
      </c>
      <c r="F58" s="2" t="s">
        <v>60</v>
      </c>
      <c r="G58" s="3">
        <v>320000</v>
      </c>
      <c r="H58" s="2">
        <v>70</v>
      </c>
      <c r="I58" s="2">
        <v>3</v>
      </c>
      <c r="J58" s="2">
        <v>0</v>
      </c>
      <c r="K58" s="2">
        <v>1</v>
      </c>
      <c r="L58" s="2">
        <v>0</v>
      </c>
      <c r="M58" s="4">
        <v>532</v>
      </c>
      <c r="N58" s="4">
        <v>69</v>
      </c>
      <c r="O58" s="4">
        <v>828</v>
      </c>
      <c r="P58" s="3">
        <v>601</v>
      </c>
      <c r="Q58" s="2" t="s">
        <v>61</v>
      </c>
      <c r="R58" s="2" t="s">
        <v>63</v>
      </c>
      <c r="S58" s="2" t="s">
        <v>61</v>
      </c>
      <c r="U58" s="2" t="s">
        <v>111</v>
      </c>
    </row>
    <row r="59" spans="1:22">
      <c r="A59" s="1">
        <f>HYPERLINK("https://www.quintoandar.com.br/imovel/895024999/comprar/apartamento-2-quartos-maracana-rio-de-janeiro","Apartamento mobiliado com 2 quartos disponível para compra. Ideal para quem busca conforto e praticidades.")</f>
        <v>0</v>
      </c>
      <c r="B59" s="2" t="s">
        <v>28</v>
      </c>
      <c r="C59" s="2" t="s">
        <v>40</v>
      </c>
      <c r="D59" s="2" t="s">
        <v>46</v>
      </c>
      <c r="E59" s="2" t="s">
        <v>59</v>
      </c>
      <c r="F59" s="2" t="s">
        <v>60</v>
      </c>
      <c r="G59" s="3">
        <v>330000</v>
      </c>
      <c r="H59" s="2">
        <v>63</v>
      </c>
      <c r="I59" s="2">
        <v>2</v>
      </c>
      <c r="J59" s="2">
        <v>0</v>
      </c>
      <c r="K59" s="2">
        <v>2</v>
      </c>
      <c r="L59" s="2">
        <v>0</v>
      </c>
      <c r="M59" s="4">
        <v>400</v>
      </c>
      <c r="N59" s="4">
        <v>84</v>
      </c>
      <c r="O59" s="4">
        <v>1008</v>
      </c>
      <c r="P59" s="3">
        <v>484</v>
      </c>
      <c r="Q59" s="2" t="s">
        <v>61</v>
      </c>
      <c r="R59" s="2" t="s">
        <v>64</v>
      </c>
      <c r="S59" s="2" t="s">
        <v>61</v>
      </c>
      <c r="U59" s="2" t="s">
        <v>112</v>
      </c>
    </row>
    <row r="60" spans="1:22">
      <c r="A60" s="1">
        <f>HYPERLINK("https://www.quintoandar.com.br/imovel/894973966/comprar/apartamento-2-quartos-maracana-rio-de-janeiro","Apartamento à venda em Maracanã de 53 m².")</f>
        <v>0</v>
      </c>
      <c r="B60" s="2" t="s">
        <v>37</v>
      </c>
      <c r="C60" s="2" t="s">
        <v>40</v>
      </c>
      <c r="D60" s="2" t="s">
        <v>58</v>
      </c>
      <c r="E60" s="2" t="s">
        <v>59</v>
      </c>
      <c r="F60" s="2" t="s">
        <v>60</v>
      </c>
      <c r="G60" s="3">
        <v>300000</v>
      </c>
      <c r="H60" s="2">
        <v>53</v>
      </c>
      <c r="I60" s="2">
        <v>2</v>
      </c>
      <c r="J60" s="2">
        <v>0</v>
      </c>
      <c r="K60" s="2">
        <v>1</v>
      </c>
      <c r="L60" s="2">
        <v>1</v>
      </c>
      <c r="M60" s="4">
        <v>447</v>
      </c>
      <c r="N60" s="4">
        <v>1</v>
      </c>
      <c r="O60" s="4">
        <v>12</v>
      </c>
      <c r="P60" s="3">
        <v>448</v>
      </c>
      <c r="Q60" s="2" t="s">
        <v>61</v>
      </c>
      <c r="R60" s="2" t="s">
        <v>64</v>
      </c>
      <c r="S60" s="2" t="s">
        <v>61</v>
      </c>
      <c r="U60" s="2" t="s">
        <v>103</v>
      </c>
    </row>
    <row r="61" spans="1:22">
      <c r="A61" s="1">
        <f>HYPERLINK("https://www.quintoandar.com.br/imovel/894757953/comprar/apartamento-1-quarto-maracana-rio-de-janeiro","Compra apartamento mobiliado no Maracanã, 1 quarto.")</f>
        <v>0</v>
      </c>
      <c r="B61" s="2" t="s">
        <v>31</v>
      </c>
      <c r="C61" s="2" t="s">
        <v>40</v>
      </c>
      <c r="D61" s="2" t="s">
        <v>41</v>
      </c>
      <c r="E61" s="2" t="s">
        <v>59</v>
      </c>
      <c r="F61" s="2" t="s">
        <v>60</v>
      </c>
      <c r="G61" s="3">
        <v>310000</v>
      </c>
      <c r="H61" s="2">
        <v>63</v>
      </c>
      <c r="I61" s="2">
        <v>1</v>
      </c>
      <c r="J61" s="2">
        <v>0</v>
      </c>
      <c r="K61" s="2">
        <v>1</v>
      </c>
      <c r="L61" s="2">
        <v>0</v>
      </c>
      <c r="M61" s="4">
        <v>650</v>
      </c>
      <c r="N61" s="4">
        <v>55</v>
      </c>
      <c r="O61" s="4">
        <v>660</v>
      </c>
      <c r="P61" s="3">
        <v>705</v>
      </c>
      <c r="Q61" s="2" t="s">
        <v>61</v>
      </c>
      <c r="R61" s="2" t="s">
        <v>66</v>
      </c>
      <c r="S61" s="2" t="s">
        <v>61</v>
      </c>
      <c r="T61" s="2">
        <v>1991</v>
      </c>
      <c r="U61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Imóveis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2025-11-22T20:25:40Z</dcterms:created>
  <dcterms:modified xsi:type="dcterms:W3CDTF">2025-11-22T20:25:40Z</dcterms:modified>
</cp:coreProperties>
</file>