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óveis" sheetId="1" r:id="rId1"/>
  </sheets>
  <calcPr calcId="124519" fullCalcOnLoad="1"/>
</workbook>
</file>

<file path=xl/sharedStrings.xml><?xml version="1.0" encoding="utf-8"?>
<sst xmlns="http://schemas.openxmlformats.org/spreadsheetml/2006/main" count="302" uniqueCount="84">
  <si>
    <t>Anúncio</t>
  </si>
  <si>
    <t>Data de publicação (aproximada)</t>
  </si>
  <si>
    <t>Tipo de imóvel</t>
  </si>
  <si>
    <t>Rua</t>
  </si>
  <si>
    <t>Bairro</t>
  </si>
  <si>
    <t>Cidade</t>
  </si>
  <si>
    <t>Valor imóvel</t>
  </si>
  <si>
    <t>Área (m²)</t>
  </si>
  <si>
    <t>Quartos</t>
  </si>
  <si>
    <t>Suítes</t>
  </si>
  <si>
    <t>Banheiros</t>
  </si>
  <si>
    <t>Vagas garagem</t>
  </si>
  <si>
    <t>Condomínio</t>
  </si>
  <si>
    <t>Iptu Mensal (Estimado)</t>
  </si>
  <si>
    <t>Iptu Anual (Estimado)</t>
  </si>
  <si>
    <t>Custo total mensal</t>
  </si>
  <si>
    <t>Próximo ao metrô</t>
  </si>
  <si>
    <t>Faixa andares</t>
  </si>
  <si>
    <t>Mobília</t>
  </si>
  <si>
    <t>Ano de construção</t>
  </si>
  <si>
    <t>Comodidades</t>
  </si>
  <si>
    <t>Características condomínio</t>
  </si>
  <si>
    <t>há 7 dias</t>
  </si>
  <si>
    <t>há mais de 1 ano</t>
  </si>
  <si>
    <t>há 21 dias</t>
  </si>
  <si>
    <t>há 1 mês</t>
  </si>
  <si>
    <t>há 5 dias</t>
  </si>
  <si>
    <t>há 3 meses</t>
  </si>
  <si>
    <t>há 8 meses</t>
  </si>
  <si>
    <t>há 11 meses</t>
  </si>
  <si>
    <t>há 7 meses</t>
  </si>
  <si>
    <t>há 2 meses</t>
  </si>
  <si>
    <t>há 4 meses</t>
  </si>
  <si>
    <t>Apartamento</t>
  </si>
  <si>
    <t>Rua Santa Luísa</t>
  </si>
  <si>
    <t>Rua Dona Zulmira</t>
  </si>
  <si>
    <t>Rua São Francisco Xavier</t>
  </si>
  <si>
    <t>Rua Oito de Dezembro</t>
  </si>
  <si>
    <t>Avenida Professor Manuel de Abreu</t>
  </si>
  <si>
    <t>Avenida Paula Sousa</t>
  </si>
  <si>
    <t>Rua Professor Euríco Rabelo</t>
  </si>
  <si>
    <t>Rua Senador Furtado</t>
  </si>
  <si>
    <t>Rua Professor Gabizo</t>
  </si>
  <si>
    <t>Rua Marã</t>
  </si>
  <si>
    <t>Rua Sergipe</t>
  </si>
  <si>
    <t xml:space="preserve"> Maracanã </t>
  </si>
  <si>
    <t>Rio de Janeiro</t>
  </si>
  <si>
    <t>Sim</t>
  </si>
  <si>
    <t>Até 3° andar</t>
  </si>
  <si>
    <t>4° a 7° andar</t>
  </si>
  <si>
    <t>12° a 15° andar</t>
  </si>
  <si>
    <t>8° a 11° andar</t>
  </si>
  <si>
    <t>Não</t>
  </si>
  <si>
    <t>Box, Armários nos banheiros, Armários na cozinha, Área de serviço</t>
  </si>
  <si>
    <t>Box, Armários no quarto, Armários na cozinha, Chuveiro a gás, Quartos e corredores com portas amplas, Área de serviço</t>
  </si>
  <si>
    <t>Box, Armários nos banheiros, Armários na cozinha, Ar condicionado, Área de serviço</t>
  </si>
  <si>
    <t>Box, Chuveiro a gás, Área de serviço</t>
  </si>
  <si>
    <t>Box, Armários na cozinha, Chuveiro a gás, Quartos e corredores com portas amplas, Área de serviço</t>
  </si>
  <si>
    <t>Box, Armários no quarto, Armários nos banheiros, Armários na cozinha, Chuveiro a gás, Home-office, Área de serviço</t>
  </si>
  <si>
    <t>Banheira de hidromassagem, Box, Armários nos banheiros, Chuveiro a gás, Quartos e corredores com portas amplas, Área de serviço</t>
  </si>
  <si>
    <t>Box, Armários no quarto, Armários nos banheiros, Armários na cozinha, Ar condicionado, Chuveiro a gás, Quartos e corredores com portas amplas, Área de serviço</t>
  </si>
  <si>
    <t>Chuveiro a gás</t>
  </si>
  <si>
    <t>Box, Varanda, Armários no quarto, Quartos e corredores com portas amplas, Área de serviço</t>
  </si>
  <si>
    <t>Box, Armários nos banheiros, Armários na cozinha, Chuveiro a gás</t>
  </si>
  <si>
    <t>Box, Varanda, Quartos e corredores com portas amplas, Área de serviço</t>
  </si>
  <si>
    <t>Box, Armários no quarto, Armários nos banheiros, Armários na cozinha, Chuveiro a gás, Área de serviço</t>
  </si>
  <si>
    <t>Box, Armários no quarto, Armários nos banheiros, Armários na cozinha, Quartos e corredores com portas amplas, Área de serviço</t>
  </si>
  <si>
    <t>Box, Armários no quarto, Armários nos banheiros, Armários na cozinha, Ar condicionado, Chuveiro a gás, Área de serviço</t>
  </si>
  <si>
    <t>Box, Armários na cozinha, Área de serviço</t>
  </si>
  <si>
    <t>Box, Armários nos banheiros, Armários na cozinha, Chuveiro a gás, Área de serviço</t>
  </si>
  <si>
    <t>Armários na cozinha, Área de serviço</t>
  </si>
  <si>
    <t>Armários nos banheiros, Área de serviço</t>
  </si>
  <si>
    <t>Box, Armários no quarto, Armários nos banheiros, Armários na cozinha, Chuveiro a gás, Fogão incluso, Cozinha americana, Área de serviço</t>
  </si>
  <si>
    <t>Próximo ao metrô, Elevador, Corrimão</t>
  </si>
  <si>
    <t>Próximo ao metrô, Elevador, Corrimão, Década de 70</t>
  </si>
  <si>
    <t>Próximo ao metrô, Elevador, Portaria 24h, Playground</t>
  </si>
  <si>
    <t>Próximo ao metrô, Elevador, Portaria 24h, Churrasqueira</t>
  </si>
  <si>
    <t>Próximo ao metrô, Elevador, Playground, Salão de festas</t>
  </si>
  <si>
    <t>Próximo ao metrô, Salão de festas, Década de 60</t>
  </si>
  <si>
    <t>Conheça os pontos próximos ao bairro Maracanã</t>
  </si>
  <si>
    <t>Próximo ao metrô, Elevador, Portaria 24h, Década de 70</t>
  </si>
  <si>
    <t>Próximo ao metrô, Portaria 24h, Década de 70</t>
  </si>
  <si>
    <t>Próximo ao metrô, Corrimão, Década de 80</t>
  </si>
  <si>
    <t>Próximo ao metrô, Elevador, Portaria 24h, Salão de festas</t>
  </si>
</sst>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"/>
      <color theme="1"/>
      <name val="Calibri"/>
      <family val="2"/>
      <scheme val="minor"/>
    </font>
    <font>
      <b/>
      <u/>
      <sz val="12"/>
      <color rgb="FF4472C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60.7109375" style="1" customWidth="1"/>
    <col min="2" max="2" width="41.7109375" style="2" customWidth="1"/>
    <col min="3" max="3" width="24.7109375" style="2" customWidth="1"/>
    <col min="4" max="4" width="43.7109375" style="2" customWidth="1"/>
    <col min="5" max="5" width="20.7109375" style="2" customWidth="1"/>
    <col min="6" max="6" width="24.7109375" style="2" customWidth="1"/>
    <col min="7" max="7" width="22.7109375" style="3" customWidth="1"/>
    <col min="8" max="8" width="19.7109375" style="2" customWidth="1"/>
    <col min="9" max="9" width="17.7109375" style="2" customWidth="1"/>
    <col min="10" max="10" width="16.7109375" style="2" customWidth="1"/>
    <col min="11" max="11" width="19.7109375" style="2" customWidth="1"/>
    <col min="12" max="12" width="23.7109375" style="2" customWidth="1"/>
    <col min="13" max="13" width="20.7109375" style="4" customWidth="1"/>
    <col min="14" max="14" width="32.7109375" style="4" customWidth="1"/>
    <col min="15" max="15" width="31.7109375" style="4" customWidth="1"/>
    <col min="16" max="16" width="28.7109375" style="3" customWidth="1"/>
    <col min="17" max="17" width="26.7109375" style="2" customWidth="1"/>
    <col min="18" max="18" width="25.7109375" style="2" customWidth="1"/>
    <col min="19" max="19" width="17.7109375" style="2" customWidth="1"/>
    <col min="20" max="20" width="27.7109375" style="2" customWidth="1"/>
    <col min="21" max="21" width="168.7109375" style="2" customWidth="1"/>
    <col min="22" max="22" width="67.7109375" style="2" customWidth="1"/>
  </cols>
  <sheetData>
    <row r="1" spans="1:22" ht="3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s="1">
        <f>HYPERLINK("https://www.quintoandar.com.br/imovel/894660377/comprar/apartamento-2-quartos-maracana-rio-de-janeiro","Apartamento de 2 quartos à venda.")</f>
        <v>0</v>
      </c>
      <c r="B2" s="2" t="s">
        <v>22</v>
      </c>
      <c r="C2" s="2" t="s">
        <v>33</v>
      </c>
      <c r="D2" s="2" t="s">
        <v>34</v>
      </c>
      <c r="E2" s="2" t="s">
        <v>45</v>
      </c>
      <c r="F2" s="2" t="s">
        <v>46</v>
      </c>
      <c r="G2" s="3">
        <v>300000</v>
      </c>
      <c r="H2" s="2">
        <v>65</v>
      </c>
      <c r="I2" s="2">
        <v>2</v>
      </c>
      <c r="J2" s="2">
        <v>0</v>
      </c>
      <c r="K2" s="2">
        <v>1</v>
      </c>
      <c r="L2" s="2">
        <v>0</v>
      </c>
      <c r="M2" s="4">
        <v>480</v>
      </c>
      <c r="N2" s="4">
        <v>62</v>
      </c>
      <c r="O2" s="4">
        <v>744</v>
      </c>
      <c r="P2" s="3">
        <v>542</v>
      </c>
      <c r="Q2" s="2" t="s">
        <v>47</v>
      </c>
      <c r="R2" s="2" t="s">
        <v>48</v>
      </c>
      <c r="S2" s="2" t="s">
        <v>52</v>
      </c>
      <c r="U2" s="2" t="s">
        <v>53</v>
      </c>
      <c r="V2" s="2" t="s">
        <v>73</v>
      </c>
    </row>
    <row r="3" spans="1:22">
      <c r="A3" s="1">
        <f>HYPERLINK("https://www.quintoandar.com.br/imovel/894644063/comprar/apartamento-3-quartos-maracana-rio-de-janeiro","Compra apartamento com 3 quartos, aceita animais.")</f>
        <v>0</v>
      </c>
      <c r="B3" s="2" t="s">
        <v>23</v>
      </c>
      <c r="C3" s="2" t="s">
        <v>33</v>
      </c>
      <c r="D3" s="2" t="s">
        <v>35</v>
      </c>
      <c r="E3" s="2" t="s">
        <v>45</v>
      </c>
      <c r="F3" s="2" t="s">
        <v>46</v>
      </c>
      <c r="G3" s="3">
        <v>285000</v>
      </c>
      <c r="H3" s="2">
        <v>77</v>
      </c>
      <c r="I3" s="2">
        <v>3</v>
      </c>
      <c r="J3" s="2">
        <v>1</v>
      </c>
      <c r="K3" s="2">
        <v>2</v>
      </c>
      <c r="L3" s="2">
        <v>0</v>
      </c>
      <c r="M3" s="4">
        <v>1200</v>
      </c>
      <c r="N3" s="4">
        <v>76</v>
      </c>
      <c r="O3" s="4">
        <v>912</v>
      </c>
      <c r="P3" s="3">
        <v>1276</v>
      </c>
      <c r="Q3" s="2" t="s">
        <v>47</v>
      </c>
      <c r="R3" s="2" t="s">
        <v>49</v>
      </c>
      <c r="S3" s="2" t="s">
        <v>52</v>
      </c>
      <c r="T3" s="2">
        <v>1971</v>
      </c>
      <c r="U3" s="2" t="s">
        <v>54</v>
      </c>
      <c r="V3" s="2" t="s">
        <v>74</v>
      </c>
    </row>
    <row r="4" spans="1:22">
      <c r="A4" s="1">
        <f>HYPERLINK("https://www.quintoandar.com.br/imovel/895166067/comprar/apartamento-3-quartos-maracana-rio-de-janeiro","Compra de apartamento com 3 quartos.")</f>
        <v>0</v>
      </c>
      <c r="B4" s="2" t="s">
        <v>24</v>
      </c>
      <c r="C4" s="2" t="s">
        <v>33</v>
      </c>
      <c r="D4" s="2" t="s">
        <v>36</v>
      </c>
      <c r="E4" s="2" t="s">
        <v>45</v>
      </c>
      <c r="F4" s="2" t="s">
        <v>46</v>
      </c>
      <c r="G4" s="3">
        <v>280000</v>
      </c>
      <c r="H4" s="2">
        <v>72</v>
      </c>
      <c r="I4" s="2">
        <v>3</v>
      </c>
      <c r="J4" s="2">
        <v>0</v>
      </c>
      <c r="K4" s="2">
        <v>1</v>
      </c>
      <c r="L4" s="2">
        <v>1</v>
      </c>
      <c r="M4" s="4">
        <v>723</v>
      </c>
      <c r="N4" s="4">
        <v>0</v>
      </c>
      <c r="O4" s="4">
        <v>0</v>
      </c>
      <c r="P4" s="3">
        <v>723</v>
      </c>
      <c r="Q4" s="2" t="s">
        <v>47</v>
      </c>
      <c r="R4" s="2" t="s">
        <v>48</v>
      </c>
      <c r="S4" s="2" t="s">
        <v>52</v>
      </c>
      <c r="T4" s="2">
        <v>1973</v>
      </c>
      <c r="U4" s="2" t="s">
        <v>55</v>
      </c>
      <c r="V4" s="2" t="s">
        <v>74</v>
      </c>
    </row>
    <row r="5" spans="1:22">
      <c r="A5" s="1">
        <f>HYPERLINK("https://www.quintoandar.com.br/imovel/895132918/comprar/apartamento-2-quartos-maracana-rio-de-janeiro","Compra de apartamento com 2 quartos.")</f>
        <v>0</v>
      </c>
      <c r="B5" s="2" t="s">
        <v>25</v>
      </c>
      <c r="C5" s="2" t="s">
        <v>33</v>
      </c>
      <c r="D5" s="2" t="s">
        <v>37</v>
      </c>
      <c r="E5" s="2" t="s">
        <v>45</v>
      </c>
      <c r="F5" s="2" t="s">
        <v>46</v>
      </c>
      <c r="G5" s="3">
        <v>290000</v>
      </c>
      <c r="H5" s="2">
        <v>78</v>
      </c>
      <c r="I5" s="2">
        <v>2</v>
      </c>
      <c r="J5" s="2">
        <v>0</v>
      </c>
      <c r="K5" s="2">
        <v>2</v>
      </c>
      <c r="L5" s="2">
        <v>1</v>
      </c>
      <c r="M5" s="4">
        <v>890</v>
      </c>
      <c r="N5" s="4">
        <v>134</v>
      </c>
      <c r="O5" s="4">
        <v>1608</v>
      </c>
      <c r="P5" s="3">
        <v>1024</v>
      </c>
      <c r="Q5" s="2" t="s">
        <v>47</v>
      </c>
      <c r="R5" s="2" t="s">
        <v>48</v>
      </c>
      <c r="S5" s="2" t="s">
        <v>52</v>
      </c>
      <c r="U5" s="2" t="s">
        <v>53</v>
      </c>
      <c r="V5" s="2" t="s">
        <v>75</v>
      </c>
    </row>
    <row r="6" spans="1:22">
      <c r="A6" s="1">
        <f>HYPERLINK("https://www.quintoandar.com.br/imovel/893792435/comprar/apartamento-2-quartos-maracana-rio-de-janeiro","Venda de apartamento no Maracanã com 2 quartos e churrasqueira no condomínio.")</f>
        <v>0</v>
      </c>
      <c r="B6" s="2" t="s">
        <v>26</v>
      </c>
      <c r="C6" s="2" t="s">
        <v>33</v>
      </c>
      <c r="D6" s="2" t="s">
        <v>38</v>
      </c>
      <c r="E6" s="2" t="s">
        <v>45</v>
      </c>
      <c r="F6" s="2" t="s">
        <v>46</v>
      </c>
      <c r="G6" s="3">
        <v>249000</v>
      </c>
      <c r="H6" s="2">
        <v>61</v>
      </c>
      <c r="I6" s="2">
        <v>2</v>
      </c>
      <c r="J6" s="2">
        <v>0</v>
      </c>
      <c r="K6" s="2">
        <v>2</v>
      </c>
      <c r="L6" s="2">
        <v>0</v>
      </c>
      <c r="M6" s="4">
        <v>1023</v>
      </c>
      <c r="N6" s="4">
        <v>0</v>
      </c>
      <c r="O6" s="4">
        <v>0</v>
      </c>
      <c r="P6" s="3">
        <v>1023</v>
      </c>
      <c r="Q6" s="2" t="s">
        <v>47</v>
      </c>
      <c r="R6" s="2" t="s">
        <v>49</v>
      </c>
      <c r="S6" s="2" t="s">
        <v>52</v>
      </c>
      <c r="U6" s="2" t="s">
        <v>56</v>
      </c>
      <c r="V6" s="2" t="s">
        <v>76</v>
      </c>
    </row>
    <row r="7" spans="1:22">
      <c r="A7" s="1">
        <f>HYPERLINK("https://www.quintoandar.com.br/imovel/894494957/comprar/apartamento-2-quartos-maracana-rio-de-janeiro","Apartamento de 2 quartos à venda.")</f>
        <v>0</v>
      </c>
      <c r="B7" s="2" t="s">
        <v>27</v>
      </c>
      <c r="C7" s="2" t="s">
        <v>33</v>
      </c>
      <c r="D7" s="2" t="s">
        <v>39</v>
      </c>
      <c r="E7" s="2" t="s">
        <v>45</v>
      </c>
      <c r="F7" s="2" t="s">
        <v>46</v>
      </c>
      <c r="G7" s="3">
        <v>300000</v>
      </c>
      <c r="H7" s="2">
        <v>70</v>
      </c>
      <c r="I7" s="2">
        <v>2</v>
      </c>
      <c r="J7" s="2">
        <v>0</v>
      </c>
      <c r="K7" s="2">
        <v>1</v>
      </c>
      <c r="L7" s="2">
        <v>0</v>
      </c>
      <c r="M7" s="4">
        <v>500</v>
      </c>
      <c r="N7" s="4">
        <v>0</v>
      </c>
      <c r="O7" s="4">
        <v>0</v>
      </c>
      <c r="P7" s="3">
        <v>500</v>
      </c>
      <c r="Q7" s="2" t="s">
        <v>47</v>
      </c>
      <c r="R7" s="2" t="s">
        <v>49</v>
      </c>
      <c r="S7" s="2" t="s">
        <v>52</v>
      </c>
      <c r="U7" s="2" t="s">
        <v>57</v>
      </c>
      <c r="V7" s="2" t="s">
        <v>16</v>
      </c>
    </row>
    <row r="8" spans="1:22">
      <c r="A8" s="1">
        <f>HYPERLINK("https://www.quintoandar.com.br/imovel/894453754/comprar/apartamento-3-quartos-maracana-rio-de-janeiro","Venda de apartamento no Maracanã com 3 quartos, ideal para quem busca compra com espaço e aceita animais.")</f>
        <v>0</v>
      </c>
      <c r="B8" s="2" t="s">
        <v>23</v>
      </c>
      <c r="C8" s="2" t="s">
        <v>33</v>
      </c>
      <c r="D8" s="2" t="s">
        <v>36</v>
      </c>
      <c r="E8" s="2" t="s">
        <v>45</v>
      </c>
      <c r="F8" s="2" t="s">
        <v>46</v>
      </c>
      <c r="G8" s="3">
        <v>275000</v>
      </c>
      <c r="H8" s="2">
        <v>100</v>
      </c>
      <c r="I8" s="2">
        <v>3</v>
      </c>
      <c r="J8" s="2">
        <v>1</v>
      </c>
      <c r="K8" s="2">
        <v>2</v>
      </c>
      <c r="L8" s="2">
        <v>1</v>
      </c>
      <c r="M8" s="4">
        <v>560</v>
      </c>
      <c r="N8" s="4">
        <v>100</v>
      </c>
      <c r="O8" s="4">
        <v>1200</v>
      </c>
      <c r="P8" s="3">
        <v>660</v>
      </c>
      <c r="Q8" s="2" t="s">
        <v>47</v>
      </c>
      <c r="R8" s="2" t="s">
        <v>49</v>
      </c>
      <c r="S8" s="2" t="s">
        <v>52</v>
      </c>
      <c r="U8" s="2" t="s">
        <v>58</v>
      </c>
      <c r="V8" s="2" t="s">
        <v>77</v>
      </c>
    </row>
    <row r="9" spans="1:22">
      <c r="A9" s="1">
        <f>HYPERLINK("https://www.quintoandar.com.br/imovel/894547631/comprar/apartamento-2-quartos-maracana-rio-de-janeiro","Apartamento de 2 quartos à venda, excelente opção para comprar. Não perca essa oportunidade de compra!")</f>
        <v>0</v>
      </c>
      <c r="B9" s="2" t="s">
        <v>23</v>
      </c>
      <c r="C9" s="2" t="s">
        <v>33</v>
      </c>
      <c r="D9" s="2" t="s">
        <v>36</v>
      </c>
      <c r="E9" s="2" t="s">
        <v>45</v>
      </c>
      <c r="F9" s="2" t="s">
        <v>46</v>
      </c>
      <c r="G9" s="3">
        <v>190000</v>
      </c>
      <c r="H9" s="2">
        <v>67</v>
      </c>
      <c r="I9" s="2">
        <v>2</v>
      </c>
      <c r="J9" s="2">
        <v>0</v>
      </c>
      <c r="K9" s="2">
        <v>1</v>
      </c>
      <c r="L9" s="2">
        <v>1</v>
      </c>
      <c r="M9" s="4">
        <v>750</v>
      </c>
      <c r="N9" s="4">
        <v>0</v>
      </c>
      <c r="O9" s="4">
        <v>0</v>
      </c>
      <c r="P9" s="3">
        <v>750</v>
      </c>
      <c r="Q9" s="2" t="s">
        <v>47</v>
      </c>
      <c r="R9" s="2" t="s">
        <v>48</v>
      </c>
      <c r="S9" s="2" t="s">
        <v>52</v>
      </c>
      <c r="U9" s="2" t="s">
        <v>57</v>
      </c>
      <c r="V9" s="2" t="s">
        <v>76</v>
      </c>
    </row>
    <row r="10" spans="1:22">
      <c r="A10" s="1">
        <f>HYPERLINK("https://www.quintoandar.com.br/imovel/894318181/comprar/apartamento-3-quartos-maracana-rio-de-janeiro","Comprar apartamento no Maracanã com 3 quartos e 1 suíte disponível para venda.")</f>
        <v>0</v>
      </c>
      <c r="B10" s="2" t="s">
        <v>23</v>
      </c>
      <c r="C10" s="2" t="s">
        <v>33</v>
      </c>
      <c r="D10" s="2" t="s">
        <v>36</v>
      </c>
      <c r="E10" s="2" t="s">
        <v>45</v>
      </c>
      <c r="F10" s="2" t="s">
        <v>46</v>
      </c>
      <c r="G10" s="3">
        <v>205000</v>
      </c>
      <c r="H10" s="2">
        <v>89</v>
      </c>
      <c r="I10" s="2">
        <v>3</v>
      </c>
      <c r="J10" s="2">
        <v>1</v>
      </c>
      <c r="K10" s="2">
        <v>2</v>
      </c>
      <c r="L10" s="2">
        <v>1</v>
      </c>
      <c r="M10" s="4">
        <v>950</v>
      </c>
      <c r="N10" s="4">
        <v>90</v>
      </c>
      <c r="O10" s="4">
        <v>1080</v>
      </c>
      <c r="P10" s="3">
        <v>1040</v>
      </c>
      <c r="Q10" s="2" t="s">
        <v>47</v>
      </c>
      <c r="R10" s="2" t="s">
        <v>48</v>
      </c>
      <c r="S10" s="2" t="s">
        <v>52</v>
      </c>
      <c r="U10" s="2" t="s">
        <v>59</v>
      </c>
      <c r="V10" s="2" t="s">
        <v>76</v>
      </c>
    </row>
    <row r="11" spans="1:22">
      <c r="A11" s="1">
        <f>HYPERLINK("https://www.quintoandar.com.br/imovel/893557276/comprar/apartamento-3-quartos-maracana-rio-de-janeiro","Apartamento à venda em Maracanã de 72 m².")</f>
        <v>0</v>
      </c>
      <c r="B11" s="2" t="s">
        <v>25</v>
      </c>
      <c r="C11" s="2" t="s">
        <v>33</v>
      </c>
      <c r="D11" s="2" t="s">
        <v>36</v>
      </c>
      <c r="E11" s="2" t="s">
        <v>45</v>
      </c>
      <c r="F11" s="2" t="s">
        <v>46</v>
      </c>
      <c r="G11" s="3">
        <v>245000</v>
      </c>
      <c r="H11" s="2">
        <v>72</v>
      </c>
      <c r="I11" s="2">
        <v>3</v>
      </c>
      <c r="J11" s="2">
        <v>0</v>
      </c>
      <c r="K11" s="2">
        <v>1</v>
      </c>
      <c r="L11" s="2">
        <v>0</v>
      </c>
      <c r="M11" s="4">
        <v>723</v>
      </c>
      <c r="N11" s="4">
        <v>0</v>
      </c>
      <c r="O11" s="4">
        <v>0</v>
      </c>
      <c r="P11" s="3">
        <v>723</v>
      </c>
      <c r="Q11" s="2" t="s">
        <v>47</v>
      </c>
      <c r="R11" s="2" t="s">
        <v>49</v>
      </c>
      <c r="S11" s="2" t="s">
        <v>52</v>
      </c>
      <c r="T11" s="2">
        <v>1973</v>
      </c>
      <c r="U11" s="2" t="s">
        <v>60</v>
      </c>
      <c r="V11" s="2" t="s">
        <v>74</v>
      </c>
    </row>
    <row r="12" spans="1:22">
      <c r="A12" s="1">
        <f>HYPERLINK("https://www.quintoandar.com.br/imovel/893150655/comprar/apartamento-2-quartos-maracana-rio-de-janeiro","Apartamento à venda no Maracanã com 2 quartos e aceita pets. Excelente opção disponível para comprar já!")</f>
        <v>0</v>
      </c>
      <c r="B12" s="2" t="s">
        <v>23</v>
      </c>
      <c r="C12" s="2" t="s">
        <v>33</v>
      </c>
      <c r="D12" s="2" t="s">
        <v>40</v>
      </c>
      <c r="E12" s="2" t="s">
        <v>45</v>
      </c>
      <c r="F12" s="2" t="s">
        <v>46</v>
      </c>
      <c r="G12" s="3">
        <v>295000</v>
      </c>
      <c r="H12" s="2">
        <v>62</v>
      </c>
      <c r="I12" s="2">
        <v>2</v>
      </c>
      <c r="J12" s="2">
        <v>0</v>
      </c>
      <c r="K12" s="2">
        <v>2</v>
      </c>
      <c r="L12" s="2">
        <v>0</v>
      </c>
      <c r="M12" s="4">
        <v>700</v>
      </c>
      <c r="N12" s="4">
        <v>51</v>
      </c>
      <c r="O12" s="4">
        <v>612</v>
      </c>
      <c r="P12" s="3">
        <v>751</v>
      </c>
      <c r="Q12" s="2" t="s">
        <v>47</v>
      </c>
      <c r="R12" s="2" t="s">
        <v>48</v>
      </c>
      <c r="S12" s="2" t="s">
        <v>52</v>
      </c>
      <c r="T12" s="2">
        <v>1961</v>
      </c>
      <c r="U12" s="2" t="s">
        <v>61</v>
      </c>
      <c r="V12" s="2" t="s">
        <v>78</v>
      </c>
    </row>
    <row r="13" spans="1:22">
      <c r="A13" s="1">
        <f>HYPERLINK("https://www.quintoandar.com.br/imovel/894490787/comprar/apartamento-2-quartos-maracana-rio-de-janeiro","Venda de apartamento no Maracanã! 2 quartos disponíveis para compra em ótima localização. Aproveite para comprar hoje mesmo!")</f>
        <v>0</v>
      </c>
      <c r="B13" s="2" t="s">
        <v>23</v>
      </c>
      <c r="C13" s="2" t="s">
        <v>33</v>
      </c>
      <c r="D13" s="2" t="s">
        <v>36</v>
      </c>
      <c r="E13" s="2" t="s">
        <v>45</v>
      </c>
      <c r="F13" s="2" t="s">
        <v>46</v>
      </c>
      <c r="G13" s="3">
        <v>170000</v>
      </c>
      <c r="H13" s="2">
        <v>57</v>
      </c>
      <c r="I13" s="2">
        <v>2</v>
      </c>
      <c r="J13" s="2">
        <v>1</v>
      </c>
      <c r="K13" s="2">
        <v>2</v>
      </c>
      <c r="L13" s="2">
        <v>0</v>
      </c>
      <c r="M13" s="4">
        <v>0</v>
      </c>
      <c r="N13" s="4">
        <v>0</v>
      </c>
      <c r="O13" s="4">
        <v>0</v>
      </c>
      <c r="P13" s="3">
        <v>0</v>
      </c>
      <c r="Q13" s="2" t="s">
        <v>47</v>
      </c>
      <c r="R13" s="2" t="s">
        <v>48</v>
      </c>
      <c r="S13" s="2" t="s">
        <v>52</v>
      </c>
      <c r="U13" s="2" t="s">
        <v>62</v>
      </c>
      <c r="V13" s="2" t="s">
        <v>79</v>
      </c>
    </row>
    <row r="14" spans="1:22">
      <c r="A14" s="1">
        <f>HYPERLINK("https://www.quintoandar.com.br/imovel/893129299/comprar/apartamento-2-quartos-maracana-rio-de-janeiro","Apartamento com 2 quartos.")</f>
        <v>0</v>
      </c>
      <c r="B14" s="2" t="s">
        <v>28</v>
      </c>
      <c r="C14" s="2" t="s">
        <v>33</v>
      </c>
      <c r="D14" s="2" t="s">
        <v>39</v>
      </c>
      <c r="E14" s="2" t="s">
        <v>45</v>
      </c>
      <c r="F14" s="2" t="s">
        <v>46</v>
      </c>
      <c r="G14" s="3">
        <v>300000</v>
      </c>
      <c r="H14" s="2">
        <v>66</v>
      </c>
      <c r="I14" s="2">
        <v>2</v>
      </c>
      <c r="J14" s="2">
        <v>0</v>
      </c>
      <c r="K14" s="2">
        <v>1</v>
      </c>
      <c r="L14" s="2">
        <v>0</v>
      </c>
      <c r="M14" s="4">
        <v>660</v>
      </c>
      <c r="N14" s="4">
        <v>0</v>
      </c>
      <c r="O14" s="4">
        <v>0</v>
      </c>
      <c r="P14" s="3">
        <v>660</v>
      </c>
      <c r="Q14" s="2" t="s">
        <v>47</v>
      </c>
      <c r="R14" s="2" t="s">
        <v>49</v>
      </c>
      <c r="S14" s="2" t="s">
        <v>52</v>
      </c>
      <c r="U14" s="2" t="s">
        <v>63</v>
      </c>
      <c r="V14" s="2" t="s">
        <v>16</v>
      </c>
    </row>
    <row r="15" spans="1:22">
      <c r="A15" s="1">
        <f>HYPERLINK("https://www.quintoandar.com.br/imovel/894621014/comprar/apartamento-3-quartos-maracana-rio-de-janeiro","Apartamento com 3 quartos disponível para compra. Uma excelente oportunidade para adquirir seu imóvel.")</f>
        <v>0</v>
      </c>
      <c r="B15" s="2" t="s">
        <v>23</v>
      </c>
      <c r="C15" s="2" t="s">
        <v>33</v>
      </c>
      <c r="D15" s="2" t="s">
        <v>36</v>
      </c>
      <c r="E15" s="2" t="s">
        <v>45</v>
      </c>
      <c r="F15" s="2" t="s">
        <v>46</v>
      </c>
      <c r="G15" s="3">
        <v>265000</v>
      </c>
      <c r="H15" s="2">
        <v>77</v>
      </c>
      <c r="I15" s="2">
        <v>3</v>
      </c>
      <c r="J15" s="2">
        <v>0</v>
      </c>
      <c r="K15" s="2">
        <v>2</v>
      </c>
      <c r="L15" s="2">
        <v>1</v>
      </c>
      <c r="M15" s="4">
        <v>900</v>
      </c>
      <c r="N15" s="4">
        <v>57</v>
      </c>
      <c r="O15" s="4">
        <v>684</v>
      </c>
      <c r="P15" s="3">
        <v>957</v>
      </c>
      <c r="Q15" s="2" t="s">
        <v>47</v>
      </c>
      <c r="R15" s="2" t="s">
        <v>50</v>
      </c>
      <c r="S15" s="2" t="s">
        <v>52</v>
      </c>
      <c r="T15" s="2">
        <v>1973</v>
      </c>
      <c r="U15" s="2" t="s">
        <v>64</v>
      </c>
      <c r="V15" s="2" t="s">
        <v>80</v>
      </c>
    </row>
    <row r="16" spans="1:22">
      <c r="A16" s="1">
        <f>HYPERLINK("https://www.quintoandar.com.br/imovel/895024121/comprar/apartamento-2-quartos-maracana-rio-de-janeiro","Apartamento no Maracanã com 2 quartos, perfeito para comprar. Aceitam-se animais de estimação.")</f>
        <v>0</v>
      </c>
      <c r="B16" s="2" t="s">
        <v>27</v>
      </c>
      <c r="C16" s="2" t="s">
        <v>33</v>
      </c>
      <c r="D16" s="2" t="s">
        <v>36</v>
      </c>
      <c r="E16" s="2" t="s">
        <v>45</v>
      </c>
      <c r="F16" s="2" t="s">
        <v>46</v>
      </c>
      <c r="G16" s="3">
        <v>200000</v>
      </c>
      <c r="H16" s="2">
        <v>50</v>
      </c>
      <c r="I16" s="2">
        <v>2</v>
      </c>
      <c r="J16" s="2">
        <v>0</v>
      </c>
      <c r="K16" s="2">
        <v>1</v>
      </c>
      <c r="L16" s="2">
        <v>1</v>
      </c>
      <c r="M16" s="4">
        <v>707</v>
      </c>
      <c r="N16" s="4">
        <v>0</v>
      </c>
      <c r="O16" s="4">
        <v>0</v>
      </c>
      <c r="P16" s="3">
        <v>707</v>
      </c>
      <c r="Q16" s="2" t="s">
        <v>47</v>
      </c>
      <c r="R16" s="2" t="s">
        <v>51</v>
      </c>
      <c r="S16" s="2" t="s">
        <v>52</v>
      </c>
      <c r="T16" s="2">
        <v>1975</v>
      </c>
      <c r="U16" s="2" t="s">
        <v>65</v>
      </c>
      <c r="V16" s="2" t="s">
        <v>74</v>
      </c>
    </row>
    <row r="17" spans="1:22">
      <c r="A17" s="1">
        <f>HYPERLINK("https://www.quintoandar.com.br/imovel/894708197/comprar/apartamento-2-quartos-maracana-rio-de-janeiro","Apartamento de 2 quartos à venda, ideal para pessoas que desejam comprar um espaço prático e confortável.")</f>
        <v>0</v>
      </c>
      <c r="B17" s="2" t="s">
        <v>29</v>
      </c>
      <c r="C17" s="2" t="s">
        <v>33</v>
      </c>
      <c r="D17" s="2" t="s">
        <v>41</v>
      </c>
      <c r="E17" s="2" t="s">
        <v>45</v>
      </c>
      <c r="F17" s="2" t="s">
        <v>46</v>
      </c>
      <c r="G17" s="3">
        <v>275000</v>
      </c>
      <c r="H17" s="2">
        <v>86</v>
      </c>
      <c r="I17" s="2">
        <v>2</v>
      </c>
      <c r="J17" s="2">
        <v>0</v>
      </c>
      <c r="K17" s="2">
        <v>1</v>
      </c>
      <c r="L17" s="2">
        <v>0</v>
      </c>
      <c r="M17" s="4">
        <v>400</v>
      </c>
      <c r="N17" s="4">
        <v>100</v>
      </c>
      <c r="O17" s="4">
        <v>1200</v>
      </c>
      <c r="P17" s="3">
        <v>500</v>
      </c>
      <c r="Q17" s="2" t="s">
        <v>47</v>
      </c>
      <c r="R17" s="2" t="s">
        <v>48</v>
      </c>
      <c r="S17" s="2" t="s">
        <v>52</v>
      </c>
      <c r="U17" s="2" t="s">
        <v>66</v>
      </c>
      <c r="V17" s="2" t="s">
        <v>16</v>
      </c>
    </row>
    <row r="18" spans="1:22">
      <c r="A18" s="1">
        <f>HYPERLINK("https://www.quintoandar.com.br/imovel/894855548/comprar/apartamento-2-quartos-maracana-rio-de-janeiro","Venda de apartamento no Maracanã com 2 quartos. Aceitam-se animais de estimação.")</f>
        <v>0</v>
      </c>
      <c r="B18" s="2" t="s">
        <v>30</v>
      </c>
      <c r="C18" s="2" t="s">
        <v>33</v>
      </c>
      <c r="D18" s="2" t="s">
        <v>36</v>
      </c>
      <c r="E18" s="2" t="s">
        <v>45</v>
      </c>
      <c r="F18" s="2" t="s">
        <v>46</v>
      </c>
      <c r="G18" s="3">
        <v>285000</v>
      </c>
      <c r="H18" s="2">
        <v>80</v>
      </c>
      <c r="I18" s="2">
        <v>2</v>
      </c>
      <c r="J18" s="2">
        <v>1</v>
      </c>
      <c r="K18" s="2">
        <v>2</v>
      </c>
      <c r="L18" s="2">
        <v>1</v>
      </c>
      <c r="M18" s="4">
        <v>960</v>
      </c>
      <c r="N18" s="4">
        <v>0</v>
      </c>
      <c r="O18" s="4">
        <v>0</v>
      </c>
      <c r="P18" s="3">
        <v>960</v>
      </c>
      <c r="Q18" s="2" t="s">
        <v>47</v>
      </c>
      <c r="R18" s="2" t="s">
        <v>48</v>
      </c>
      <c r="S18" s="2" t="s">
        <v>52</v>
      </c>
      <c r="T18" s="2">
        <v>1973</v>
      </c>
      <c r="U18" s="2" t="s">
        <v>65</v>
      </c>
      <c r="V18" s="2" t="s">
        <v>80</v>
      </c>
    </row>
    <row r="19" spans="1:22">
      <c r="A19" s="1">
        <f>HYPERLINK("https://www.quintoandar.com.br/imovel/893424559/comprar/apartamento-2-quartos-maracana-rio-de-janeiro","Comprar apartamento no Maracanã com 2 quartos e churrasqueira no condomínio.")</f>
        <v>0</v>
      </c>
      <c r="B19" s="2" t="s">
        <v>23</v>
      </c>
      <c r="C19" s="2" t="s">
        <v>33</v>
      </c>
      <c r="D19" s="2" t="s">
        <v>37</v>
      </c>
      <c r="E19" s="2" t="s">
        <v>45</v>
      </c>
      <c r="F19" s="2" t="s">
        <v>46</v>
      </c>
      <c r="G19" s="3">
        <v>298000</v>
      </c>
      <c r="H19" s="2">
        <v>56</v>
      </c>
      <c r="I19" s="2">
        <v>2</v>
      </c>
      <c r="J19" s="2">
        <v>0</v>
      </c>
      <c r="K19" s="2">
        <v>1</v>
      </c>
      <c r="L19" s="2">
        <v>1</v>
      </c>
      <c r="M19" s="4">
        <v>700</v>
      </c>
      <c r="N19" s="4">
        <v>0</v>
      </c>
      <c r="O19" s="4">
        <v>0</v>
      </c>
      <c r="P19" s="3">
        <v>700</v>
      </c>
      <c r="Q19" s="2" t="s">
        <v>47</v>
      </c>
      <c r="R19" s="2" t="s">
        <v>48</v>
      </c>
      <c r="S19" s="2" t="s">
        <v>52</v>
      </c>
      <c r="U19" s="2" t="s">
        <v>67</v>
      </c>
      <c r="V19" s="2" t="s">
        <v>75</v>
      </c>
    </row>
    <row r="20" spans="1:22">
      <c r="A20" s="1">
        <f>HYPERLINK("https://www.quintoandar.com.br/imovel/894158484/comprar/apartamento-3-quartos-maracana-rio-de-janeiro","Apartamento de 3 quartos à venda. Ótima oportunidade para comprar seu novo lar.")</f>
        <v>0</v>
      </c>
      <c r="B20" s="2" t="s">
        <v>23</v>
      </c>
      <c r="C20" s="2" t="s">
        <v>33</v>
      </c>
      <c r="D20" s="2" t="s">
        <v>36</v>
      </c>
      <c r="E20" s="2" t="s">
        <v>45</v>
      </c>
      <c r="F20" s="2" t="s">
        <v>46</v>
      </c>
      <c r="G20" s="3">
        <v>300000</v>
      </c>
      <c r="H20" s="2">
        <v>79</v>
      </c>
      <c r="I20" s="2">
        <v>3</v>
      </c>
      <c r="J20" s="2">
        <v>1</v>
      </c>
      <c r="K20" s="2">
        <v>2</v>
      </c>
      <c r="L20" s="2">
        <v>1</v>
      </c>
      <c r="M20" s="4">
        <v>750</v>
      </c>
      <c r="N20" s="4">
        <v>7</v>
      </c>
      <c r="O20" s="4">
        <v>84</v>
      </c>
      <c r="P20" s="3">
        <v>757</v>
      </c>
      <c r="Q20" s="2" t="s">
        <v>47</v>
      </c>
      <c r="R20" s="2" t="s">
        <v>50</v>
      </c>
      <c r="S20" s="2" t="s">
        <v>52</v>
      </c>
      <c r="T20" s="2">
        <v>1973</v>
      </c>
      <c r="V20" s="2" t="s">
        <v>81</v>
      </c>
    </row>
    <row r="21" spans="1:22">
      <c r="A21" s="1">
        <f>HYPERLINK("https://www.quintoandar.com.br/imovel/893232067/comprar/apartamento-2-quartos-maracana-rio-de-janeiro","Compre apartamento de 2 quartos, 1 suíte. Excelente para comprar ou investir.")</f>
        <v>0</v>
      </c>
      <c r="B21" s="2" t="s">
        <v>25</v>
      </c>
      <c r="C21" s="2" t="s">
        <v>33</v>
      </c>
      <c r="D21" s="2" t="s">
        <v>36</v>
      </c>
      <c r="E21" s="2" t="s">
        <v>45</v>
      </c>
      <c r="F21" s="2" t="s">
        <v>46</v>
      </c>
      <c r="G21" s="3">
        <v>269000</v>
      </c>
      <c r="H21" s="2">
        <v>78</v>
      </c>
      <c r="I21" s="2">
        <v>2</v>
      </c>
      <c r="J21" s="2">
        <v>1</v>
      </c>
      <c r="K21" s="2">
        <v>1</v>
      </c>
      <c r="L21" s="2">
        <v>2</v>
      </c>
      <c r="M21" s="4">
        <v>692</v>
      </c>
      <c r="N21" s="4">
        <v>0</v>
      </c>
      <c r="O21" s="4">
        <v>0</v>
      </c>
      <c r="P21" s="3">
        <v>692</v>
      </c>
      <c r="Q21" s="2" t="s">
        <v>47</v>
      </c>
      <c r="R21" s="2" t="s">
        <v>51</v>
      </c>
      <c r="S21" s="2" t="s">
        <v>52</v>
      </c>
      <c r="U21" s="2" t="s">
        <v>68</v>
      </c>
      <c r="V21" s="2" t="s">
        <v>75</v>
      </c>
    </row>
    <row r="22" spans="1:22">
      <c r="A22" s="1">
        <f>HYPERLINK("https://www.quintoandar.com.br/imovel/895125459/comprar/apartamento-2-quartos-maracana-rio-de-janeiro","Apartamento com 2 quartos no Maracanã, ideal para comprar. Não perca essa oportunidade única.")</f>
        <v>0</v>
      </c>
      <c r="B22" s="2" t="s">
        <v>25</v>
      </c>
      <c r="C22" s="2" t="s">
        <v>33</v>
      </c>
      <c r="D22" s="2" t="s">
        <v>42</v>
      </c>
      <c r="E22" s="2" t="s">
        <v>45</v>
      </c>
      <c r="F22" s="2" t="s">
        <v>46</v>
      </c>
      <c r="G22" s="3">
        <v>300000</v>
      </c>
      <c r="H22" s="2">
        <v>74</v>
      </c>
      <c r="I22" s="2">
        <v>2</v>
      </c>
      <c r="J22" s="2">
        <v>0</v>
      </c>
      <c r="K22" s="2">
        <v>1</v>
      </c>
      <c r="L22" s="2">
        <v>0</v>
      </c>
      <c r="M22" s="4">
        <v>700</v>
      </c>
      <c r="N22" s="4">
        <v>77</v>
      </c>
      <c r="O22" s="4">
        <v>924</v>
      </c>
      <c r="P22" s="3">
        <v>777</v>
      </c>
      <c r="Q22" s="2" t="s">
        <v>47</v>
      </c>
      <c r="R22" s="2" t="s">
        <v>48</v>
      </c>
      <c r="S22" s="2" t="s">
        <v>52</v>
      </c>
      <c r="T22" s="2">
        <v>1980</v>
      </c>
      <c r="U22" s="2" t="s">
        <v>69</v>
      </c>
      <c r="V22" s="2" t="s">
        <v>82</v>
      </c>
    </row>
    <row r="23" spans="1:22">
      <c r="A23" s="1">
        <f>HYPERLINK("https://www.quintoandar.com.br/imovel/893493566/comprar/apartamento-3-quartos-maracana-rio-de-janeiro","Apartamento à venda em Maracanã de 80 m² com churrasqueira.")</f>
        <v>0</v>
      </c>
      <c r="B23" s="2" t="s">
        <v>31</v>
      </c>
      <c r="C23" s="2" t="s">
        <v>33</v>
      </c>
      <c r="D23" s="2" t="s">
        <v>43</v>
      </c>
      <c r="E23" s="2" t="s">
        <v>45</v>
      </c>
      <c r="F23" s="2" t="s">
        <v>46</v>
      </c>
      <c r="G23" s="3">
        <v>285000</v>
      </c>
      <c r="H23" s="2">
        <v>80</v>
      </c>
      <c r="I23" s="2">
        <v>3</v>
      </c>
      <c r="J23" s="2">
        <v>0</v>
      </c>
      <c r="K23" s="2">
        <v>1</v>
      </c>
      <c r="L23" s="2">
        <v>0</v>
      </c>
      <c r="M23" s="4">
        <v>680</v>
      </c>
      <c r="N23" s="4">
        <v>78</v>
      </c>
      <c r="O23" s="4">
        <v>936</v>
      </c>
      <c r="P23" s="3">
        <v>758</v>
      </c>
      <c r="Q23" s="2" t="s">
        <v>47</v>
      </c>
      <c r="R23" s="2" t="s">
        <v>48</v>
      </c>
      <c r="S23" s="2" t="s">
        <v>52</v>
      </c>
      <c r="U23" s="2" t="s">
        <v>70</v>
      </c>
      <c r="V23" s="2" t="s">
        <v>16</v>
      </c>
    </row>
    <row r="24" spans="1:22">
      <c r="A24" s="1">
        <f>HYPERLINK("https://www.quintoandar.com.br/imovel/893307951/comprar/apartamento-4-quartos-maracana-rio-de-janeiro","Venda de apartamento no Maracanã com 4 quartos. Excelente para comprar agora!")</f>
        <v>0</v>
      </c>
      <c r="B24" s="2" t="s">
        <v>23</v>
      </c>
      <c r="C24" s="2" t="s">
        <v>33</v>
      </c>
      <c r="D24" s="2" t="s">
        <v>36</v>
      </c>
      <c r="E24" s="2" t="s">
        <v>45</v>
      </c>
      <c r="F24" s="2" t="s">
        <v>46</v>
      </c>
      <c r="G24" s="3">
        <v>295000</v>
      </c>
      <c r="H24" s="2">
        <v>80</v>
      </c>
      <c r="I24" s="2">
        <v>4</v>
      </c>
      <c r="J24" s="2">
        <v>0</v>
      </c>
      <c r="K24" s="2">
        <v>2</v>
      </c>
      <c r="L24" s="2">
        <v>1</v>
      </c>
      <c r="M24" s="4">
        <v>600</v>
      </c>
      <c r="N24" s="4">
        <v>80</v>
      </c>
      <c r="O24" s="4">
        <v>960</v>
      </c>
      <c r="P24" s="3">
        <v>680</v>
      </c>
      <c r="Q24" s="2" t="s">
        <v>47</v>
      </c>
      <c r="R24" s="2" t="s">
        <v>48</v>
      </c>
      <c r="S24" s="2" t="s">
        <v>52</v>
      </c>
      <c r="U24" s="2" t="s">
        <v>71</v>
      </c>
      <c r="V24" s="2" t="s">
        <v>79</v>
      </c>
    </row>
    <row r="25" spans="1:22">
      <c r="A25" s="1">
        <f>HYPERLINK("https://www.quintoandar.com.br/imovel/893398315/comprar/apartamento-2-quartos-maracana-rio-de-janeiro","Apartamento com 2 quartos disponível para comprar.")</f>
        <v>0</v>
      </c>
      <c r="B25" s="2" t="s">
        <v>23</v>
      </c>
      <c r="C25" s="2" t="s">
        <v>33</v>
      </c>
      <c r="D25" s="2" t="s">
        <v>36</v>
      </c>
      <c r="E25" s="2" t="s">
        <v>45</v>
      </c>
      <c r="F25" s="2" t="s">
        <v>46</v>
      </c>
      <c r="G25" s="3">
        <v>260000</v>
      </c>
      <c r="H25" s="2">
        <v>72</v>
      </c>
      <c r="I25" s="2">
        <v>2</v>
      </c>
      <c r="J25" s="2">
        <v>0</v>
      </c>
      <c r="K25" s="2">
        <v>1</v>
      </c>
      <c r="L25" s="2">
        <v>1</v>
      </c>
      <c r="M25" s="4">
        <v>854</v>
      </c>
      <c r="N25" s="4">
        <v>43</v>
      </c>
      <c r="O25" s="4">
        <v>516</v>
      </c>
      <c r="P25" s="3">
        <v>897</v>
      </c>
      <c r="Q25" s="2" t="s">
        <v>47</v>
      </c>
      <c r="R25" s="2" t="s">
        <v>51</v>
      </c>
      <c r="S25" s="2" t="s">
        <v>52</v>
      </c>
      <c r="U25" s="2" t="s">
        <v>67</v>
      </c>
      <c r="V25" s="2" t="s">
        <v>83</v>
      </c>
    </row>
    <row r="26" spans="1:22">
      <c r="A26" s="1">
        <f>HYPERLINK("https://www.quintoandar.com.br/imovel/894606978/comprar/apartamento-2-quartos-maracana-rio-de-janeiro","Apartamento com 2 quartos disponível para comprar. Excelente oportunidade para adquirir seu imóvel.")</f>
        <v>0</v>
      </c>
      <c r="B26" s="2" t="s">
        <v>32</v>
      </c>
      <c r="C26" s="2" t="s">
        <v>33</v>
      </c>
      <c r="D26" s="2" t="s">
        <v>36</v>
      </c>
      <c r="E26" s="2" t="s">
        <v>45</v>
      </c>
      <c r="F26" s="2" t="s">
        <v>46</v>
      </c>
      <c r="G26" s="3">
        <v>280000</v>
      </c>
      <c r="H26" s="2">
        <v>50</v>
      </c>
      <c r="I26" s="2">
        <v>2</v>
      </c>
      <c r="J26" s="2">
        <v>0</v>
      </c>
      <c r="K26" s="2">
        <v>1</v>
      </c>
      <c r="L26" s="2">
        <v>1</v>
      </c>
      <c r="M26" s="4">
        <v>706</v>
      </c>
      <c r="N26" s="4">
        <v>0</v>
      </c>
      <c r="O26" s="4">
        <v>0</v>
      </c>
      <c r="P26" s="3">
        <v>706</v>
      </c>
      <c r="Q26" s="2" t="s">
        <v>47</v>
      </c>
      <c r="R26" s="2" t="s">
        <v>49</v>
      </c>
      <c r="S26" s="2" t="s">
        <v>52</v>
      </c>
      <c r="T26" s="2">
        <v>1975</v>
      </c>
      <c r="U26" s="2" t="s">
        <v>72</v>
      </c>
      <c r="V26" s="2" t="s">
        <v>80</v>
      </c>
    </row>
    <row r="27" spans="1:22">
      <c r="A27" s="1">
        <f>HYPERLINK("https://www.quintoandar.com.br/imovel/894973966/comprar/apartamento-2-quartos-maracana-rio-de-janeiro","Apartamento à venda em Maracanã de 53 m².")</f>
        <v>0</v>
      </c>
      <c r="B27" s="2" t="s">
        <v>32</v>
      </c>
      <c r="C27" s="2" t="s">
        <v>33</v>
      </c>
      <c r="D27" s="2" t="s">
        <v>44</v>
      </c>
      <c r="E27" s="2" t="s">
        <v>45</v>
      </c>
      <c r="F27" s="2" t="s">
        <v>46</v>
      </c>
      <c r="G27" s="3">
        <v>300000</v>
      </c>
      <c r="H27" s="2">
        <v>53</v>
      </c>
      <c r="I27" s="2">
        <v>2</v>
      </c>
      <c r="J27" s="2">
        <v>0</v>
      </c>
      <c r="K27" s="2">
        <v>1</v>
      </c>
      <c r="L27" s="2">
        <v>1</v>
      </c>
      <c r="M27" s="4">
        <v>447</v>
      </c>
      <c r="N27" s="4">
        <v>1</v>
      </c>
      <c r="O27" s="4">
        <v>12</v>
      </c>
      <c r="P27" s="3">
        <v>448</v>
      </c>
      <c r="Q27" s="2" t="s">
        <v>47</v>
      </c>
      <c r="R27" s="2" t="s">
        <v>48</v>
      </c>
      <c r="S27" s="2" t="s">
        <v>47</v>
      </c>
      <c r="U27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Imóveis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2025-11-22T20:21:44Z</dcterms:created>
  <dcterms:modified xsi:type="dcterms:W3CDTF">2025-11-22T20:21:44Z</dcterms:modified>
</cp:coreProperties>
</file>