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óveis" sheetId="1" r:id="rId1"/>
  </sheets>
  <calcPr calcId="124519" fullCalcOnLoad="1"/>
</workbook>
</file>

<file path=xl/sharedStrings.xml><?xml version="1.0" encoding="utf-8"?>
<sst xmlns="http://schemas.openxmlformats.org/spreadsheetml/2006/main" count="127" uniqueCount="55">
  <si>
    <t>Anúncio</t>
  </si>
  <si>
    <t>Data de publicação (aproximada)</t>
  </si>
  <si>
    <t>Tipo de imóvel</t>
  </si>
  <si>
    <t>Rua</t>
  </si>
  <si>
    <t>Bairro</t>
  </si>
  <si>
    <t>Cidade</t>
  </si>
  <si>
    <t>Valor aluguel</t>
  </si>
  <si>
    <t>Área (m²)</t>
  </si>
  <si>
    <t>Quartos</t>
  </si>
  <si>
    <t>Suítes</t>
  </si>
  <si>
    <t>Banheiros</t>
  </si>
  <si>
    <t>Vagas garagem</t>
  </si>
  <si>
    <t>Condomínio</t>
  </si>
  <si>
    <t>Iptu Mensal (Estimado)</t>
  </si>
  <si>
    <t>Iptu Anual (Estimado)</t>
  </si>
  <si>
    <t>Seguro incêndio</t>
  </si>
  <si>
    <t>Taxa de serviço</t>
  </si>
  <si>
    <t>Custo total mensal</t>
  </si>
  <si>
    <t>Pets</t>
  </si>
  <si>
    <t>Próximo ao metrô</t>
  </si>
  <si>
    <t>Faixa andares</t>
  </si>
  <si>
    <t>Mobília</t>
  </si>
  <si>
    <t>Ano de construção</t>
  </si>
  <si>
    <t>Comodidades</t>
  </si>
  <si>
    <t>Características condomínio</t>
  </si>
  <si>
    <t>há 1 dia</t>
  </si>
  <si>
    <t>há 4 horas</t>
  </si>
  <si>
    <t>há 19 dias</t>
  </si>
  <si>
    <t>há 4 dias</t>
  </si>
  <si>
    <t>há 1 mês</t>
  </si>
  <si>
    <t>há 21 dias</t>
  </si>
  <si>
    <t>há 1 hora</t>
  </si>
  <si>
    <t>Apartamento</t>
  </si>
  <si>
    <t>Rua Garibaldi</t>
  </si>
  <si>
    <t>Rua Carlos Vasconcelos</t>
  </si>
  <si>
    <t>Rua Conde de Bonfim</t>
  </si>
  <si>
    <t>Rua Alzira Brandão</t>
  </si>
  <si>
    <t>Rua José Higino</t>
  </si>
  <si>
    <t>Rua Almirante Cochrane</t>
  </si>
  <si>
    <t>Rua dos Araújos</t>
  </si>
  <si>
    <t xml:space="preserve"> Tijuca </t>
  </si>
  <si>
    <t>Rio de Janeiro</t>
  </si>
  <si>
    <t>Sim</t>
  </si>
  <si>
    <t>8° a 11° andar</t>
  </si>
  <si>
    <t>12° a 15° andar</t>
  </si>
  <si>
    <t>4° a 7° andar</t>
  </si>
  <si>
    <t>Não</t>
  </si>
  <si>
    <t>Box, Varanda, Armários no quarto, Armários nos banheiros, Armários na cozinha, Chuveiro a gás, Área de serviço</t>
  </si>
  <si>
    <t>Box, Varanda, Armários no quarto, Armários nos banheiros, Armários na cozinha, Ar condicionado, Chuveiro a gás, Quartos e corredores com portas amplas, Área de serviço</t>
  </si>
  <si>
    <t>Box, Armários no quarto, Armários nos banheiros, Armários na cozinha, Chuveiro a gás, Quartos e corredores com portas amplas, Área de serviço</t>
  </si>
  <si>
    <t>Box, Armários no quarto, Armários na cozinha, Ar condicionado, Chuveiro a gás, Fogão incluso, Geladeira inclusa, Home-office, Área de serviço</t>
  </si>
  <si>
    <t>Chuveiro a gás, Quartos e corredores com portas amplas, Área de serviço</t>
  </si>
  <si>
    <t>Banheira de hidromassagem, Box, Armários no quarto, Armários nos banheiros, Armários na cozinha, Chuveiro a gás, Banheiro adaptado, Área de serviço</t>
  </si>
  <si>
    <t>Box, Armários no quarto, Armários nos banheiros, Armários na cozinha, Área de serviço</t>
  </si>
  <si>
    <t>Administração QuintoAndar durante todo o contrato</t>
  </si>
</sst>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"/>
      <color theme="1"/>
      <name val="Calibri"/>
      <family val="2"/>
      <scheme val="minor"/>
    </font>
    <font>
      <b/>
      <u/>
      <sz val="12"/>
      <color rgb="FF4472C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"/>
  <sheetViews>
    <sheetView tabSelected="1" workbookViewId="0"/>
  </sheetViews>
  <sheetFormatPr defaultRowHeight="15"/>
  <cols>
    <col min="1" max="1" width="60.7109375" style="1" customWidth="1"/>
    <col min="2" max="2" width="41.7109375" style="2" customWidth="1"/>
    <col min="3" max="3" width="24.7109375" style="2" customWidth="1"/>
    <col min="4" max="4" width="32.7109375" style="2" customWidth="1"/>
    <col min="5" max="5" width="18.7109375" style="2" customWidth="1"/>
    <col min="6" max="6" width="24.7109375" style="2" customWidth="1"/>
    <col min="7" max="7" width="23.7109375" style="3" customWidth="1"/>
    <col min="8" max="8" width="19.7109375" style="2" customWidth="1"/>
    <col min="9" max="9" width="17.7109375" style="2" customWidth="1"/>
    <col min="10" max="10" width="16.7109375" style="2" customWidth="1"/>
    <col min="11" max="11" width="19.7109375" style="2" customWidth="1"/>
    <col min="12" max="12" width="23.7109375" style="2" customWidth="1"/>
    <col min="13" max="13" width="20.7109375" style="4" customWidth="1"/>
    <col min="14" max="14" width="32.7109375" style="4" customWidth="1"/>
    <col min="15" max="15" width="31.7109375" style="4" customWidth="1"/>
    <col min="16" max="17" width="25.7109375" style="4" customWidth="1"/>
    <col min="18" max="18" width="28.7109375" style="3" customWidth="1"/>
    <col min="19" max="19" width="14.7109375" style="2" customWidth="1"/>
    <col min="20" max="20" width="26.7109375" style="2" customWidth="1"/>
    <col min="21" max="21" width="25.7109375" style="2" customWidth="1"/>
    <col min="22" max="22" width="17.7109375" style="2" customWidth="1"/>
    <col min="23" max="23" width="27.7109375" style="2" customWidth="1"/>
    <col min="24" max="24" width="177.7109375" style="2" customWidth="1"/>
    <col min="25" max="25" width="59.7109375" style="2" customWidth="1"/>
  </cols>
  <sheetData>
    <row r="1" spans="1:25" ht="30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spans="1:25">
      <c r="A2" s="1">
        <f>HYPERLINK("https://www.quintoandar.com.br/imovel/894675020/alugar/apartamento-2-quartos-tijuca-rio-de-janeiro","Aluguel de apartamento, de 84 m² com 2 quartos, 3 banheiros e 1 vaga na garagem em Tijuca.")</f>
        <v>0</v>
      </c>
      <c r="B2" s="2" t="s">
        <v>25</v>
      </c>
      <c r="C2" s="2" t="s">
        <v>32</v>
      </c>
      <c r="D2" s="2" t="s">
        <v>33</v>
      </c>
      <c r="E2" s="2" t="s">
        <v>40</v>
      </c>
      <c r="F2" s="2" t="s">
        <v>41</v>
      </c>
      <c r="G2" s="3">
        <v>2850</v>
      </c>
      <c r="H2" s="2">
        <v>84</v>
      </c>
      <c r="I2" s="2">
        <v>2</v>
      </c>
      <c r="J2" s="2">
        <v>1</v>
      </c>
      <c r="K2" s="2">
        <v>3</v>
      </c>
      <c r="L2" s="2">
        <v>1</v>
      </c>
      <c r="M2" s="4">
        <v>1300</v>
      </c>
      <c r="N2" s="4">
        <v>115</v>
      </c>
      <c r="O2" s="4">
        <v>1380</v>
      </c>
      <c r="P2" s="4">
        <v>37</v>
      </c>
      <c r="Q2" s="4">
        <v>73</v>
      </c>
      <c r="R2" s="3">
        <v>4375</v>
      </c>
      <c r="S2" s="2" t="s">
        <v>42</v>
      </c>
      <c r="T2" s="2" t="s">
        <v>42</v>
      </c>
      <c r="U2" s="2" t="s">
        <v>43</v>
      </c>
      <c r="V2" s="2" t="s">
        <v>46</v>
      </c>
      <c r="X2" s="2" t="s">
        <v>47</v>
      </c>
      <c r="Y2" s="2" t="s">
        <v>54</v>
      </c>
    </row>
    <row r="3" spans="1:25">
      <c r="A3" s="1">
        <f>HYPERLINK("https://www.quintoandar.com.br/imovel/894625681/alugar/apartamento-2-quartos-tijuca-rio-de-janeiro","Aluguel de apartamento, de 80 m² com 2 quartos, 2 banheiros e 1 vaga na garagem em Tijuca.")</f>
        <v>0</v>
      </c>
      <c r="B3" s="2" t="s">
        <v>26</v>
      </c>
      <c r="C3" s="2" t="s">
        <v>32</v>
      </c>
      <c r="D3" s="2" t="s">
        <v>34</v>
      </c>
      <c r="E3" s="2" t="s">
        <v>40</v>
      </c>
      <c r="F3" s="2" t="s">
        <v>41</v>
      </c>
      <c r="G3" s="3">
        <v>3100</v>
      </c>
      <c r="H3" s="2">
        <v>80</v>
      </c>
      <c r="I3" s="2">
        <v>2</v>
      </c>
      <c r="J3" s="2">
        <v>1</v>
      </c>
      <c r="K3" s="2">
        <v>2</v>
      </c>
      <c r="L3" s="2">
        <v>1</v>
      </c>
      <c r="M3" s="4">
        <v>1267</v>
      </c>
      <c r="N3" s="4">
        <v>106</v>
      </c>
      <c r="O3" s="4">
        <v>1272</v>
      </c>
      <c r="P3" s="4">
        <v>40</v>
      </c>
      <c r="Q3" s="4">
        <v>80</v>
      </c>
      <c r="R3" s="3">
        <v>4593</v>
      </c>
      <c r="S3" s="2" t="s">
        <v>42</v>
      </c>
      <c r="T3" s="2" t="s">
        <v>42</v>
      </c>
      <c r="U3" s="2" t="s">
        <v>44</v>
      </c>
      <c r="V3" s="2" t="s">
        <v>46</v>
      </c>
      <c r="X3" s="2" t="s">
        <v>48</v>
      </c>
      <c r="Y3" s="2" t="s">
        <v>54</v>
      </c>
    </row>
    <row r="4" spans="1:25">
      <c r="A4" s="1">
        <f>HYPERLINK("https://www.quintoandar.com.br/imovel/895143970/alugar/apartamento-3-quartos-tijuca-rio-de-janeiro","Apartamento mobiliado com 3 quartos disponível para alugar.")</f>
        <v>0</v>
      </c>
      <c r="B4" s="2" t="s">
        <v>27</v>
      </c>
      <c r="C4" s="2" t="s">
        <v>32</v>
      </c>
      <c r="D4" s="2" t="s">
        <v>35</v>
      </c>
      <c r="E4" s="2" t="s">
        <v>40</v>
      </c>
      <c r="F4" s="2" t="s">
        <v>41</v>
      </c>
      <c r="G4" s="3">
        <v>3320</v>
      </c>
      <c r="H4" s="2">
        <v>105</v>
      </c>
      <c r="I4" s="2">
        <v>3</v>
      </c>
      <c r="J4" s="2">
        <v>1</v>
      </c>
      <c r="K4" s="2">
        <v>2</v>
      </c>
      <c r="L4" s="2">
        <v>1</v>
      </c>
      <c r="M4" s="4">
        <v>2000</v>
      </c>
      <c r="N4" s="4">
        <v>150</v>
      </c>
      <c r="O4" s="4">
        <v>1800</v>
      </c>
      <c r="P4" s="4">
        <v>43</v>
      </c>
      <c r="Q4" s="4">
        <v>85</v>
      </c>
      <c r="R4" s="3">
        <v>5598</v>
      </c>
      <c r="S4" s="2" t="s">
        <v>42</v>
      </c>
      <c r="T4" s="2" t="s">
        <v>42</v>
      </c>
      <c r="U4" s="2" t="s">
        <v>44</v>
      </c>
      <c r="V4" s="2" t="s">
        <v>42</v>
      </c>
      <c r="X4" s="2" t="s">
        <v>49</v>
      </c>
      <c r="Y4" s="2" t="s">
        <v>54</v>
      </c>
    </row>
    <row r="5" spans="1:25">
      <c r="A5" s="1">
        <f>HYPERLINK("https://www.quintoandar.com.br/imovel/893654073/alugar/apartamento-3-quartos-tijuca-rio-de-janeiro","Aluguel de apartamento mobiliado, de 102 m² com 3 quartos, 2 banheiros e 1 vaga na garagem em Tijuca.")</f>
        <v>0</v>
      </c>
      <c r="B5" s="2" t="s">
        <v>28</v>
      </c>
      <c r="C5" s="2" t="s">
        <v>32</v>
      </c>
      <c r="D5" s="2" t="s">
        <v>36</v>
      </c>
      <c r="E5" s="2" t="s">
        <v>40</v>
      </c>
      <c r="F5" s="2" t="s">
        <v>41</v>
      </c>
      <c r="G5" s="3">
        <v>3300</v>
      </c>
      <c r="H5" s="2">
        <v>102</v>
      </c>
      <c r="I5" s="2">
        <v>3</v>
      </c>
      <c r="J5" s="2">
        <v>1</v>
      </c>
      <c r="K5" s="2">
        <v>2</v>
      </c>
      <c r="L5" s="2">
        <v>1</v>
      </c>
      <c r="M5" s="4">
        <v>1441</v>
      </c>
      <c r="N5" s="4">
        <v>166</v>
      </c>
      <c r="O5" s="4">
        <v>1992</v>
      </c>
      <c r="P5" s="4">
        <v>43</v>
      </c>
      <c r="Q5" s="4">
        <v>85</v>
      </c>
      <c r="R5" s="3">
        <v>5035</v>
      </c>
      <c r="S5" s="2" t="s">
        <v>42</v>
      </c>
      <c r="T5" s="2" t="s">
        <v>42</v>
      </c>
      <c r="U5" s="2" t="s">
        <v>45</v>
      </c>
      <c r="V5" s="2" t="s">
        <v>42</v>
      </c>
      <c r="X5" s="2" t="s">
        <v>50</v>
      </c>
      <c r="Y5" s="2" t="s">
        <v>54</v>
      </c>
    </row>
    <row r="6" spans="1:25">
      <c r="A6" s="1">
        <f>HYPERLINK("https://www.quintoandar.com.br/imovel/894253006/alugar/apartamento-3-quartos-tijuca-rio-de-janeiro","Apartamento para alugar em Tijuca de 85 m².")</f>
        <v>0</v>
      </c>
      <c r="B6" s="2" t="s">
        <v>29</v>
      </c>
      <c r="C6" s="2" t="s">
        <v>32</v>
      </c>
      <c r="D6" s="2" t="s">
        <v>37</v>
      </c>
      <c r="E6" s="2" t="s">
        <v>40</v>
      </c>
      <c r="F6" s="2" t="s">
        <v>41</v>
      </c>
      <c r="G6" s="3">
        <v>2600</v>
      </c>
      <c r="H6" s="2">
        <v>85</v>
      </c>
      <c r="I6" s="2">
        <v>3</v>
      </c>
      <c r="J6" s="2">
        <v>1</v>
      </c>
      <c r="K6" s="2">
        <v>2</v>
      </c>
      <c r="L6" s="2">
        <v>1</v>
      </c>
      <c r="M6" s="4">
        <v>1207</v>
      </c>
      <c r="N6" s="4">
        <v>118</v>
      </c>
      <c r="O6" s="4">
        <v>1416</v>
      </c>
      <c r="P6" s="4">
        <v>34</v>
      </c>
      <c r="Q6" s="4">
        <v>67</v>
      </c>
      <c r="R6" s="3">
        <v>4026</v>
      </c>
      <c r="S6" s="2" t="s">
        <v>42</v>
      </c>
      <c r="T6" s="2" t="s">
        <v>42</v>
      </c>
      <c r="U6" s="2" t="s">
        <v>45</v>
      </c>
      <c r="V6" s="2" t="s">
        <v>46</v>
      </c>
      <c r="X6" s="2" t="s">
        <v>51</v>
      </c>
      <c r="Y6" s="2" t="s">
        <v>54</v>
      </c>
    </row>
    <row r="7" spans="1:25">
      <c r="A7" s="1">
        <f>HYPERLINK("https://www.quintoandar.com.br/imovel/895160055/alugar/apartamento-3-quartos-tijuca-rio-de-janeiro","Aluguel de apartamento com 3 quartos.")</f>
        <v>0</v>
      </c>
      <c r="B7" s="2" t="s">
        <v>30</v>
      </c>
      <c r="C7" s="2" t="s">
        <v>32</v>
      </c>
      <c r="D7" s="2" t="s">
        <v>38</v>
      </c>
      <c r="E7" s="2" t="s">
        <v>40</v>
      </c>
      <c r="F7" s="2" t="s">
        <v>41</v>
      </c>
      <c r="G7" s="3">
        <v>3000</v>
      </c>
      <c r="H7" s="2">
        <v>140</v>
      </c>
      <c r="I7" s="2">
        <v>3</v>
      </c>
      <c r="J7" s="2">
        <v>0</v>
      </c>
      <c r="K7" s="2">
        <v>3</v>
      </c>
      <c r="L7" s="2">
        <v>1</v>
      </c>
      <c r="M7" s="4">
        <v>2000</v>
      </c>
      <c r="N7" s="4">
        <v>267</v>
      </c>
      <c r="O7" s="4">
        <v>3204</v>
      </c>
      <c r="P7" s="4">
        <v>39</v>
      </c>
      <c r="Q7" s="4">
        <v>77</v>
      </c>
      <c r="R7" s="3">
        <v>5383</v>
      </c>
      <c r="S7" s="2" t="s">
        <v>42</v>
      </c>
      <c r="T7" s="2" t="s">
        <v>42</v>
      </c>
      <c r="U7" s="2" t="s">
        <v>45</v>
      </c>
      <c r="V7" s="2" t="s">
        <v>46</v>
      </c>
      <c r="X7" s="2" t="s">
        <v>52</v>
      </c>
      <c r="Y7" s="2" t="s">
        <v>54</v>
      </c>
    </row>
    <row r="8" spans="1:25">
      <c r="A8" s="1">
        <f>HYPERLINK("https://www.quintoandar.com.br/imovel/895181618/alugar/apartamento-3-quartos-tijuca-rio-de-janeiro","Alugar apartamento na Tijuca: 3 quartos, aceita pets. Oportunidades únicas!")</f>
        <v>0</v>
      </c>
      <c r="B8" s="2" t="s">
        <v>31</v>
      </c>
      <c r="C8" s="2" t="s">
        <v>32</v>
      </c>
      <c r="D8" s="2" t="s">
        <v>39</v>
      </c>
      <c r="E8" s="2" t="s">
        <v>40</v>
      </c>
      <c r="F8" s="2" t="s">
        <v>41</v>
      </c>
      <c r="G8" s="3">
        <v>2500</v>
      </c>
      <c r="H8" s="2">
        <v>105</v>
      </c>
      <c r="I8" s="2">
        <v>3</v>
      </c>
      <c r="J8" s="2">
        <v>1</v>
      </c>
      <c r="K8" s="2">
        <v>3</v>
      </c>
      <c r="L8" s="2">
        <v>1</v>
      </c>
      <c r="M8" s="4">
        <v>1000</v>
      </c>
      <c r="N8" s="4">
        <v>109</v>
      </c>
      <c r="O8" s="4">
        <v>1308</v>
      </c>
      <c r="P8" s="4">
        <v>33</v>
      </c>
      <c r="Q8" s="4">
        <v>64</v>
      </c>
      <c r="R8" s="3">
        <v>3706</v>
      </c>
      <c r="S8" s="2" t="s">
        <v>42</v>
      </c>
      <c r="T8" s="2" t="s">
        <v>42</v>
      </c>
      <c r="U8" s="2" t="s">
        <v>45</v>
      </c>
      <c r="V8" s="2" t="s">
        <v>46</v>
      </c>
      <c r="X8" s="2" t="s">
        <v>53</v>
      </c>
      <c r="Y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Imóveis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2025-11-22T20:29:26Z</dcterms:created>
  <dcterms:modified xsi:type="dcterms:W3CDTF">2025-11-22T20:29:26Z</dcterms:modified>
</cp:coreProperties>
</file>